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149cb87cf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2f1c6e2ac64aac"/>
    <x:sheet xmlns:r="http://schemas.openxmlformats.org/officeDocument/2006/relationships" name="Inputs" sheetId="2" r:id="R9c184fa843e44ebc"/>
    <x:sheet xmlns:r="http://schemas.openxmlformats.org/officeDocument/2006/relationships" name="1 institution" sheetId="3" r:id="Rbd91ca352b1041c5"/>
    <x:sheet xmlns:r="http://schemas.openxmlformats.org/officeDocument/2006/relationships" name="10 institutions" sheetId="4" r:id="R9753b474f988463e"/>
    <x:sheet xmlns:r="http://schemas.openxmlformats.org/officeDocument/2006/relationships" name="100 institutions" sheetId="5" r:id="Rd276dd09ca1d4706"/>
    <x:sheet xmlns:r="http://schemas.openxmlformats.org/officeDocument/2006/relationships" name="Sources" sheetId="6" r:id="R2a25ee2bcb0e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mmm yyyy"/>
    <x:numFmt numFmtId="201" formatCode="&quot;$&quot;#,##0;(&quot;$&quot;#,##0);&quot;$&quot;0"/>
    <x:numFmt numFmtId="202" formatCode="$0.000"/>
    <x:numFmt numFmtId="203" formatCode="0%"/>
    <x:numFmt numFmtId="204" formatCode="$0.00"/>
    <x:numFmt numFmtId="205" formatCode="0.000"/>
    <x:numFmt numFmtId="206" formatCode="0.0%"/>
    <x:numFmt numFmtId="207" formatCode="mmm yy"/>
    <x:numFmt numFmtId="208" formatCode="#,##0"/>
    <x:numFmt numFmtId="209" formatCode="0.00"/>
    <x:numFmt numFmtId="210" formatCode="0.0"/>
  </x:numFmts>
  <x:fonts count="7">
    <x:font>
      <x:sz val="11"/>
      <x:name val="Carlito"/>
    </x:font>
    <x:font>
      <x:sz val="10"/>
      <x:color rgb="FF20252B"/>
      <x:name val="Arial"/>
    </x:font>
    <x:font>
      <x:b/>
      <x:sz val="15"/>
      <x:color rgb="FF20252B"/>
      <x:name val="Arial"/>
    </x:font>
    <x:font>
      <x:sz val="10"/>
      <x:color rgb="FF175CB6"/>
      <x:name val="Arial"/>
    </x:font>
    <x:font>
      <x:b/>
      <x:sz val="10"/>
      <x:color rgb="FFFFFFFF"/>
      <x:name val="Arial"/>
    </x:font>
    <x:font>
      <x:b/>
      <x:sz val="10"/>
      <x:color rgb="FF20252B"/>
      <x:name val="Arial"/>
    </x:font>
    <x:font>
      <x:sz val="10"/>
      <x:color rgb="FF246A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C"/>
      </x:patternFill>
    </x:fill>
    <x:fill>
      <x:patternFill patternType="solid">
        <x:fgColor rgb="FF303D4C"/>
      </x:patternFill>
    </x:fill>
    <x:fill>
      <x:patternFill patternType="solid">
        <x:fgColor rgb="FFE8EDF2"/>
      </x:patternFill>
    </x:fill>
  </x:fills>
  <x:borders count="2">
    <x:border/>
    <x:border>
      <x:left style="thin">
        <x:color rgb="FF83909C"/>
      </x:lef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1" fontId="3" fillId="2" borderId="0" xfId="0" applyNumberFormat="1" applyFont="1" applyFill="1" applyBorder="1"/>
    <x:xf numFmtId="202" fontId="3" fillId="2" borderId="0" xfId="0" applyNumberFormat="1" applyFont="1" applyFill="1" applyBorder="1"/>
    <x:xf numFmtId="203" fontId="3" fillId="2" borderId="0" xfId="0" applyNumberFormat="1" applyFont="1" applyFill="1" applyBorder="1"/>
    <x:xf numFmtId="204" fontId="1" fillId="0" borderId="0" xfId="0" applyNumberFormat="1" applyFont="1" applyFill="1" applyBorder="1"/>
    <x:xf numFmtId="205" fontId="3" fillId="2" borderId="0" xfId="0" applyNumberFormat="1" applyFont="1" applyFill="1" applyBorder="1"/>
    <x:xf numFmtId="206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207" fontId="4" fillId="3" borderId="0" xfId="0" applyNumberFormat="1" applyFont="1" applyFill="1" applyBorder="1"/>
    <x:xf numFmtId="201" fontId="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8" fontId="1" fillId="0" borderId="1" xfId="0" applyNumberFormat="1" applyFont="1" applyFill="1" applyBorder="1"/>
    <x:xf numFmtId="209" fontId="1" fillId="0" borderId="1" xfId="0" applyNumberFormat="1" applyFont="1" applyFill="1" applyBorder="1"/>
    <x:xf numFmtId="204" fontId="1" fillId="0" borderId="1" xfId="0" applyNumberFormat="1" applyFont="1" applyFill="1" applyBorder="1"/>
    <x:xf numFmtId="201" fontId="1" fillId="0" borderId="1" xfId="0" applyNumberFormat="1" applyFont="1" applyFill="1" applyBorder="1"/>
    <x:xf numFmtId="201" fontId="5" fillId="4" borderId="1" xfId="0" applyNumberFormat="1" applyFont="1" applyFill="1" applyBorder="1"/>
    <x:xf numFmtId="206" fontId="1" fillId="0" borderId="1" xfId="0" applyNumberFormat="1" applyFont="1" applyFill="1" applyBorder="1"/>
    <x:xf numFmtId="210" fontId="1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14b4dc17640c8" /><Relationship Type="http://schemas.openxmlformats.org/officeDocument/2006/relationships/theme" Target="/xl/theme/theme1.xml" Id="Rf4c30b797f6e4cfd" /><Relationship Type="http://schemas.openxmlformats.org/officeDocument/2006/relationships/sharedStrings" Target="/xl/sharedStrings.xml" Id="R415b7d1406ac4ae0" /><Relationship Type="http://schemas.openxmlformats.org/officeDocument/2006/relationships/worksheet" Target="/xl/worksheets/sheet1.xml" Id="R352f1c6e2ac64aac" /><Relationship Type="http://schemas.openxmlformats.org/officeDocument/2006/relationships/worksheet" Target="/xl/worksheets/sheet2.xml" Id="R9c184fa843e44ebc" /><Relationship Type="http://schemas.openxmlformats.org/officeDocument/2006/relationships/worksheet" Target="/xl/worksheets/sheet3.xml" Id="Rbd91ca352b1041c5" /><Relationship Type="http://schemas.openxmlformats.org/officeDocument/2006/relationships/worksheet" Target="/xl/worksheets/sheet4.xml" Id="R9753b474f988463e" /><Relationship Type="http://schemas.openxmlformats.org/officeDocument/2006/relationships/worksheet" Target="/xl/worksheets/sheet5.xml" Id="Rd276dd09ca1d4706" /><Relationship Type="http://schemas.openxmlformats.org/officeDocument/2006/relationships/worksheet" Target="/xl/worksheets/sheet6.xml" Id="R2a25ee2bcb0e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0" hidden="0" customWidth="1"/>
    <x:col min="3" max="3" width="20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1" customHeight="1">
      <x:c r="A1" s="2" t="str">
        <x:v>AltContext first year scenarios</x:v>
      </x:c>
      <x:c r="B1" s="1"/>
      <x:c r="C1" s="1"/>
      <x:c r="D1" s="1"/>
      <x:c r="E1" s="1"/>
    </x:row>
    <x:row r="2" ht="21" customHeight="1">
      <x:c r="A2" s="1" t="str">
        <x:v>USD. Still images. Institutional accounts, not professor seats.</x:v>
      </x:c>
      <x:c r="B2" s="1"/>
      <x:c r="C2" s="1"/>
      <x:c r="D2" s="1"/>
      <x:c r="E2" s="1"/>
    </x:row>
    <x:row r="3" ht="21" customHeight="1">
      <x:c r="A3" s="1" t="str">
        <x:v>Illustrative Nov 2026 to Oct 2027. Edit launch month and inputs before committing spend.</x:v>
      </x:c>
      <x:c r="B3" s="1"/>
      <x:c r="C3" s="1"/>
      <x:c r="D3" s="1"/>
      <x:c r="E3" s="1"/>
    </x:row>
    <x:row r="4" ht="21" customHeight="1">
      <x:c r="A4" s="1"/>
      <x:c r="B4" s="1"/>
      <x:c r="C4" s="1"/>
      <x:c r="D4" s="1"/>
      <x:c r="E4" s="1"/>
    </x:row>
    <x:row r="5" ht="28" customHeight="1">
      <x:c r="A5" s="9" t="str">
        <x:v>Metric</x:v>
      </x:c>
      <x:c r="B5" s="9" t="str">
        <x:v>1 institution</x:v>
      </x:c>
      <x:c r="C5" s="9" t="str">
        <x:v>10 institutions</x:v>
      </x:c>
      <x:c r="D5" s="9" t="str">
        <x:v>100 institutions</x:v>
      </x:c>
      <x:c r="E5" s="1"/>
    </x:row>
    <x:row r="6" ht="21" customHeight="1">
      <x:c r="A6" s="1" t="str">
        <x:v>Exit paying accounts</x:v>
      </x:c>
      <x:c r="B6" s="20" t="n">
        <x:f>'1 institution'!M6</x:f>
        <x:v>1</x:v>
      </x:c>
      <x:c r="C6" s="20" t="n">
        <x:f>'10 institutions'!M6</x:f>
        <x:v>10</x:v>
      </x:c>
      <x:c r="D6" s="20" t="n">
        <x:f>'100 institutions'!M6</x:f>
        <x:v>100</x:v>
      </x:c>
      <x:c r="E6" s="1"/>
    </x:row>
    <x:row r="7" ht="21" customHeight="1">
      <x:c r="A7" s="1" t="str">
        <x:v>Customer months in year one</x:v>
      </x:c>
      <x:c r="B7" s="20" t="n">
        <x:f>SUM('1 institution'!B6:M6)</x:f>
        <x:v>10</x:v>
      </x:c>
      <x:c r="C7" s="20" t="n">
        <x:f>SUM('10 institutions'!B6:M6)</x:f>
        <x:v>56</x:v>
      </x:c>
      <x:c r="D7" s="20" t="n">
        <x:f>SUM('100 institutions'!B6:M6)</x:f>
        <x:v>415</x:v>
      </x:c>
      <x:c r="E7" s="1"/>
    </x:row>
    <x:row r="8" ht="21" customHeight="1">
      <x:c r="A8" s="1" t="str">
        <x:v>Average monthly price</x:v>
      </x:c>
      <x:c r="B8" s="13" t="n">
        <x:f>'Inputs'!B19</x:f>
        <x:v>149</x:v>
      </x:c>
      <x:c r="C8" s="13" t="n">
        <x:f>'Inputs'!C19</x:f>
        <x:v>179</x:v>
      </x:c>
      <x:c r="D8" s="13" t="n">
        <x:f>'Inputs'!D19</x:f>
        <x:v>211.49999999999997</x:v>
      </x:c>
      <x:c r="E8" s="1"/>
    </x:row>
    <x:row r="9" ht="21" customHeight="1">
      <x:c r="A9" s="1" t="str">
        <x:v>Exit monthly recurring revenue</x:v>
      </x:c>
      <x:c r="B9" s="19" t="n">
        <x:f>B6*B8</x:f>
        <x:v>149</x:v>
      </x:c>
      <x:c r="C9" s="19" t="n">
        <x:f>C6*C8</x:f>
        <x:v>1790</x:v>
      </x:c>
      <x:c r="D9" s="19" t="n">
        <x:f>D6*D8</x:f>
        <x:v>21149.999999999996</x:v>
      </x:c>
      <x:c r="E9" s="1"/>
    </x:row>
    <x:row r="10" ht="21" customHeight="1">
      <x:c r="A10" s="25" t="str">
        <x:v>Exit annual recurring revenue</x:v>
      </x:c>
      <x:c r="B10" s="26" t="n">
        <x:f>B9*12</x:f>
        <x:v>1788</x:v>
      </x:c>
      <x:c r="C10" s="26" t="n">
        <x:f>C9*12</x:f>
        <x:v>21480</x:v>
      </x:c>
      <x:c r="D10" s="26" t="n">
        <x:f>D9*12</x:f>
        <x:v>253799.99999999994</x:v>
      </x:c>
      <x:c r="E10" s="1"/>
    </x:row>
    <x:row r="11" ht="21" customHeight="1">
      <x:c r="A11" s="1" t="str">
        <x:v>Year one subscription revenue</x:v>
      </x:c>
      <x:c r="B11" s="19" t="n">
        <x:f>'1 institution'!N11</x:f>
        <x:v>1490</x:v>
      </x:c>
      <x:c r="C11" s="19" t="n">
        <x:f>'10 institutions'!N11</x:f>
        <x:v>10024</x:v>
      </x:c>
      <x:c r="D11" s="19" t="n">
        <x:f>'100 institutions'!N11</x:f>
        <x:v>87772.49999999999</x:v>
      </x:c>
      <x:c r="E11" s="1"/>
    </x:row>
    <x:row r="12" ht="21" customHeight="1">
      <x:c r="A12" s="1" t="str">
        <x:v>Year one setup revenue</x:v>
      </x:c>
      <x:c r="B12" s="19" t="n">
        <x:f>'1 institution'!N12</x:f>
        <x:v>0</x:v>
      </x:c>
      <x:c r="C12" s="19" t="n">
        <x:f>'10 institutions'!N12</x:f>
        <x:v>2127.3100000000004</x:v>
      </x:c>
      <x:c r="D12" s="19" t="n">
        <x:f>'100 institutions'!N12</x:f>
        <x:v>20840.274999999998</x:v>
      </x:c>
      <x:c r="E12" s="1"/>
    </x:row>
    <x:row r="13" ht="21" customHeight="1">
      <x:c r="A13" s="25" t="str">
        <x:v>Year one total revenue</x:v>
      </x:c>
      <x:c r="B13" s="26" t="n">
        <x:f>'1 institution'!N13</x:f>
        <x:v>1490</x:v>
      </x:c>
      <x:c r="C13" s="26" t="n">
        <x:f>'10 institutions'!N13</x:f>
        <x:v>12151.31</x:v>
      </x:c>
      <x:c r="D13" s="26" t="n">
        <x:f>'100 institutions'!N13</x:f>
        <x:v>108612.77499999998</x:v>
      </x:c>
      <x:c r="E13" s="1"/>
    </x:row>
    <x:row r="14" ht="21" customHeight="1">
      <x:c r="A14" s="1" t="str">
        <x:v>Variable delivery and support costs</x:v>
      </x:c>
      <x:c r="B14" s="19" t="n">
        <x:f>SUM('1 institution'!N14:N18)</x:f>
        <x:v>586.4499999999999</x:v>
      </x:c>
      <x:c r="C14" s="19" t="n">
        <x:f>SUM('10 institutions'!N14:N18)</x:f>
        <x:v>4318.6917</x:v>
      </x:c>
      <x:c r="D14" s="19" t="n">
        <x:f>SUM('100 institutions'!N14:N18)</x:f>
        <x:v>38867.51925</x:v>
      </x:c>
      <x:c r="E14" s="1"/>
    </x:row>
    <x:row r="15" ht="21" customHeight="1">
      <x:c r="A15" s="1" t="str">
        <x:v>Fixed operating costs</x:v>
      </x:c>
      <x:c r="B15" s="19" t="n">
        <x:f>SUM('1 institution'!N19:N23)</x:f>
        <x:v>12000</x:v>
      </x:c>
      <x:c r="C15" s="19" t="n">
        <x:f>SUM('10 institutions'!N19:N23)</x:f>
        <x:v>25200</x:v>
      </x:c>
      <x:c r="D15" s="19" t="n">
        <x:f>SUM('100 institutions'!N19:N23)</x:f>
        <x:v>79200</x:v>
      </x:c>
      <x:c r="E15" s="1"/>
    </x:row>
    <x:row r="16" ht="21" customHeight="1">
      <x:c r="A16" s="1" t="str">
        <x:v>Cash cost excluding founder</x:v>
      </x:c>
      <x:c r="B16" s="19" t="n">
        <x:f>'1 institution'!N24</x:f>
        <x:v>12586.450000000004</x:v>
      </x:c>
      <x:c r="C16" s="19" t="n">
        <x:f>'10 institutions'!N24</x:f>
        <x:v>29518.691700000003</x:v>
      </x:c>
      <x:c r="D16" s="19" t="n">
        <x:f>'100 institutions'!N24</x:f>
        <x:v>118067.51925</x:v>
      </x:c>
      <x:c r="E16" s="1"/>
    </x:row>
    <x:row r="17" ht="21" customHeight="1">
      <x:c r="A17" s="25" t="str">
        <x:v>Year one result before founder</x:v>
      </x:c>
      <x:c r="B17" s="26" t="n">
        <x:f>'1 institution'!N25</x:f>
        <x:v>-11096.450000000003</x:v>
      </x:c>
      <x:c r="C17" s="26" t="n">
        <x:f>'10 institutions'!N25</x:f>
        <x:v>-17367.3817</x:v>
      </x:c>
      <x:c r="D17" s="26" t="n">
        <x:f>'100 institutions'!N25</x:f>
        <x:v>-9454.744250000007</x:v>
      </x:c>
      <x:c r="E17" s="1"/>
    </x:row>
    <x:row r="18" ht="21" customHeight="1">
      <x:c r="A18" s="1" t="str">
        <x:v>Additional founder labor budget</x:v>
      </x:c>
      <x:c r="B18" s="19" t="n">
        <x:f>'1 institution'!N26</x:f>
        <x:v>60000</x:v>
      </x:c>
      <x:c r="C18" s="19" t="n">
        <x:f>'10 institutions'!N26</x:f>
        <x:v>60000</x:v>
      </x:c>
      <x:c r="D18" s="19" t="n">
        <x:f>'100 institutions'!N26</x:f>
        <x:v>84000</x:v>
      </x:c>
      <x:c r="E18" s="1"/>
    </x:row>
    <x:row r="19" ht="21" customHeight="1">
      <x:c r="A19" s="25" t="str">
        <x:v>Year one result including founder</x:v>
      </x:c>
      <x:c r="B19" s="26" t="n">
        <x:f>'1 institution'!N27</x:f>
        <x:v>-71096.45</x:v>
      </x:c>
      <x:c r="C19" s="26" t="n">
        <x:f>'10 institutions'!N27</x:f>
        <x:v>-77367.3817</x:v>
      </x:c>
      <x:c r="D19" s="26" t="n">
        <x:f>'100 institutions'!N27</x:f>
        <x:v>-93454.74425000002</x:v>
      </x:c>
      <x:c r="E19" s="1"/>
    </x:row>
    <x:row r="20" ht="21" customHeight="1">
      <x:c r="A20" s="25" t="str">
        <x:v>Peak funding excluding founder</x:v>
      </x:c>
      <x:c r="B20" s="26" t="n">
        <x:f>MAX(0,-MIN('1 institution'!B31:M31))</x:f>
        <x:v>11096.450000000003</x:v>
      </x:c>
      <x:c r="C20" s="26" t="n">
        <x:f>MAX(0,-MIN('10 institutions'!B31:M31))</x:f>
        <x:v>17694.44455</x:v>
      </x:c>
      <x:c r="D20" s="26" t="n">
        <x:f>MAX(0,-MIN('100 institutions'!B31:M31))</x:f>
        <x:v>38231.05505</x:v>
      </x:c>
      <x:c r="E20" s="1"/>
    </x:row>
    <x:row r="21" ht="21" customHeight="1">
      <x:c r="A21" s="25" t="str">
        <x:v>Peak funding including founder</x:v>
      </x:c>
      <x:c r="B21" s="26" t="n">
        <x:f>MAX(0,-MIN('1 institution'!B32:M32))</x:f>
        <x:v>71096.44999999998</x:v>
      </x:c>
      <x:c r="C21" s="26" t="n">
        <x:f>MAX(0,-MIN('10 institutions'!B32:M32))</x:f>
        <x:v>77367.3817</x:v>
      </x:c>
      <x:c r="D21" s="26" t="n">
        <x:f>MAX(0,-MIN('100 institutions'!B32:M32))</x:f>
        <x:v>97780.83200000002</x:v>
      </x:c>
      <x:c r="E21" s="1"/>
    </x:row>
    <x:row r="22" ht="21" customHeight="1">
      <x:c r="A22" s="25" t="str">
        <x:v>Funding with reserve buffer</x:v>
      </x:c>
      <x:c r="B22" s="26" t="n">
        <x:f>B20*(1+'Inputs'!$B$36)</x:f>
        <x:v>13315.740000000003</x:v>
      </x:c>
      <x:c r="C22" s="26" t="n">
        <x:f>C20*(1+'Inputs'!$B$36)</x:f>
        <x:v>21233.333459999998</x:v>
      </x:c>
      <x:c r="D22" s="26" t="n">
        <x:f>D20*(1+'Inputs'!$B$36)</x:f>
        <x:v>45877.26606</x:v>
      </x:c>
      <x:c r="E22" s="1"/>
    </x:row>
    <x:row r="23" ht="21" customHeight="1">
      <x:c r="A23" s="1" t="str">
        <x:v>Monthly contribution per account</x:v>
      </x:c>
      <x:c r="B23" s="19" t="n">
        <x:f>B8-'Inputs'!B20*'Inputs'!$B$24*'Inputs'!$B$25-B8*('Inputs'!$B$26+'Inputs'!$B$28)-'Inputs'!$B$27-'Inputs'!$B$30*'Inputs'!$B$32</x:f>
        <x:v>100.57</x:v>
      </x:c>
      <x:c r="C23" s="19" t="n">
        <x:f>C8-'Inputs'!C20*'Inputs'!$B$24*'Inputs'!$B$25-C8*('Inputs'!$B$26+'Inputs'!$B$28)-'Inputs'!$B$27-'Inputs'!$B$30*'Inputs'!$B$32</x:f>
        <x:v>121.72</x:v>
      </x:c>
      <x:c r="D23" s="19" t="n">
        <x:f>D8-'Inputs'!D20*'Inputs'!$B$24*'Inputs'!$B$25-D8*('Inputs'!$B$26+'Inputs'!$B$28)-'Inputs'!$B$27-'Inputs'!$B$30*'Inputs'!$B$32</x:f>
        <x:v>144.06999999999996</x:v>
      </x:c>
      <x:c r="E23" s="1"/>
    </x:row>
    <x:row r="24" ht="21" customHeight="1">
      <x:c r="A24" s="1" t="str">
        <x:v>Cash marketing per acquired account</x:v>
      </x:c>
      <x:c r="B24" s="19" t="n">
        <x:f>SUM('1 institution'!B21:M21)/'1 institution'!N7</x:f>
        <x:v>1585.9030837004418</x:v>
      </x:c>
      <x:c r="C24" s="19" t="n">
        <x:f>SUM('10 institutions'!B21:M21)/'10 institutions'!N7</x:f>
        <x:v>561.2722170252573</x:v>
      </x:c>
      <x:c r="D24" s="19" t="n">
        <x:f>SUM('100 institutions'!B21:M21)/'100 institutions'!N7</x:f>
        <x:v>229.17164000954884</x:v>
      </x:c>
      <x:c r="E24" s="1"/>
    </x:row>
    <x:row r="25" ht="21" customHeight="1">
      <x:c r="A25" s="1" t="str">
        <x:v>Marketing payback months</x:v>
      </x:c>
      <x:c r="B25" s="33" t="n">
        <x:f>B24/B23</x:f>
        <x:v>15.769146700809804</x:v>
      </x:c>
      <x:c r="C25" s="33" t="n">
        <x:f>C24/C23</x:f>
        <x:v>4.611174967345196</x:v>
      </x:c>
      <x:c r="D25" s="33" t="n">
        <x:f>D24/D23</x:f>
        <x:v>1.5906964670614903</x:v>
      </x:c>
      <x:c r="E25" s="1"/>
    </x:row>
    <x:row r="26" ht="21" customHeight="1">
      <x:c r="A26" s="1" t="str">
        <x:v>Support and onboarding hours</x:v>
      </x:c>
      <x:c r="B26" s="20" t="n">
        <x:f>B7*'Inputs'!$B$30+'1 institution'!N7*'Inputs'!$B$31</x:f>
        <x:v>7.269999999999998</x:v>
      </x:c>
      <x:c r="C26" s="20" t="n">
        <x:f>C7*'Inputs'!$B$30+'10 institutions'!N7*'Inputs'!$B$31</x:f>
        <x:v>49.379999999999995</x:v>
      </x:c>
      <x:c r="D26" s="20" t="n">
        <x:f>D7*'Inputs'!$B$30+'100 institutions'!N7*'Inputs'!$B$31</x:f>
        <x:v>416.95</x:v>
      </x:c>
      <x:c r="E26" s="1"/>
    </x:row>
    <x:row r="27" ht="21" customHeight="1">
      <x:c r="A27" s="1" t="str">
        <x:v>Gross account additions</x:v>
      </x:c>
      <x:c r="B27" s="21" t="n">
        <x:f>'1 institution'!N7</x:f>
        <x:v>1.1349999999999991</x:v>
      </x:c>
      <x:c r="C27" s="21" t="n">
        <x:f>'10 institutions'!N7</x:f>
        <x:v>10.69</x:v>
      </x:c>
      <x:c r="D27" s="21" t="n">
        <x:f>'100 institutions'!N7</x:f>
        <x:v>104.725</x:v>
      </x:c>
      <x:c r="E27" s="1"/>
    </x:row>
    <x:row r="28" ht="21" customHeight="1">
      <x:c r="A28" s="1"/>
      <x:c r="B28" s="19"/>
      <x:c r="C28" s="19"/>
      <x:c r="D28" s="19"/>
      <x:c r="E28" s="1"/>
    </x:row>
    <x:row r="29" ht="21" customHeight="1">
      <x:c r="A29" s="1" t="str">
        <x:v>Image delivery at full allowances</x:v>
      </x:c>
      <x:c r="B29" s="19" t="n">
        <x:f>'1 institution'!N14/'Inputs'!$B$24</x:f>
        <x:v>300</x:v>
      </x:c>
      <x:c r="C29" s="19" t="n">
        <x:f>'10 institutions'!N14/'Inputs'!$B$24</x:f>
        <x:v>2436</x:v>
      </x:c>
      <x:c r="D29" s="19" t="n">
        <x:f>'100 institutions'!N14/'Inputs'!$B$24</x:f>
        <x:v>24588.75</x:v>
      </x:c>
      <x:c r="E29" s="1"/>
    </x:row>
    <x:row r="30" ht="21" customHeight="1">
      <x:c r="A30" s="1" t="str">
        <x:v>Image delivery at 3 cents per image</x:v>
      </x:c>
      <x:c r="B30" s="19" t="n">
        <x:f>'1 institution'!N10*'Inputs'!$B$35</x:f>
        <x:v>300</x:v>
      </x:c>
      <x:c r="C30" s="19" t="n">
        <x:f>'10 institutions'!N10*'Inputs'!$B$35</x:f>
        <x:v>2436</x:v>
      </x:c>
      <x:c r="D30" s="19" t="n">
        <x:f>'100 institutions'!N10*'Inputs'!$B$35</x:f>
        <x:v>24588.75</x:v>
      </x:c>
      <x:c r="E30" s="1"/>
    </x:row>
    <x:row r="31" ht="21" customHeight="1">
      <x:c r="A31" s="1" t="str">
        <x:v>Annual pricing revenue reduction</x:v>
      </x:c>
      <x:c r="B31" s="19" t="n">
        <x:f>B11*'Inputs'!$B$34</x:f>
        <x:v>248.3333333333334</x:v>
      </x:c>
      <x:c r="C31" s="19" t="n">
        <x:f>C11*'Inputs'!$B$34</x:f>
        <x:v>1670.6666666666672</x:v>
      </x:c>
      <x:c r="D31" s="19" t="n">
        <x:f>D11*'Inputs'!$B$34</x:f>
        <x:v>14628.750000000002</x:v>
      </x:c>
      <x:c r="E31" s="1"/>
    </x:row>
    <x:row r="32" ht="21" customHeight="1">
      <x:c r="A32" s="1" t="str">
        <x:v>Invoice delay stress peak funding</x:v>
      </x:c>
      <x:c r="B32" s="19" t="n">
        <x:f>MAX(0,-MIN(B38:M38))</x:f>
        <x:v>11394.450000000004</x:v>
      </x:c>
      <x:c r="C32" s="19" t="n">
        <x:f>MAX(0,-MIN(B39:M39))</x:f>
        <x:v>21217.1267</x:v>
      </x:c>
      <x:c r="D32" s="19" t="n">
        <x:f>MAX(0,-MIN(B40:M40))</x:f>
        <x:v>60471.90699999999</x:v>
      </x:c>
      <x:c r="E32" s="1"/>
    </x:row>
    <x:row r="33" ht="21" customHeight="1">
      <x:c r="A33" s="1"/>
      <x:c r="B33" s="1"/>
      <x:c r="C33" s="1"/>
      <x:c r="D33" s="1"/>
      <x:c r="E33" s="1"/>
    </x:row>
    <x:row r="34" ht="21" customHeight="1">
      <x:c r="A34" s="1" t="str">
        <x:v>No video or top-up revenue. Monthly price basis; annual discount shown separately.</x:v>
      </x:c>
      <x:c r="B34" s="1"/>
      <x:c r="C34" s="1"/>
      <x:c r="D34" s="1"/>
      <x:c r="E34" s="1"/>
    </x:row>
    <x:row r="35" ht="21" customHeight="1">
      <x:c r="A35" s="1" t="str">
        <x:v>Setup revenue is an assumption. Founder labor is additional to paid support and contractors.</x:v>
      </x:c>
      <x:c r="B35" s="1"/>
      <x:c r="C35" s="1"/>
      <x:c r="D35" s="1"/>
      <x:c r="E35" s="1"/>
    </x:row>
    <x:row r="36" ht="21" customHeight="1">
      <x:c r="A36" s="1" t="str">
        <x:v>Stress funding uses the delay in Inputs B3; operating revenue recognition stays monthly.</x:v>
      </x:c>
      <x:c r="B36" s="1"/>
      <x:c r="C36" s="1"/>
      <x:c r="D36" s="1"/>
      <x:c r="E36" s="1"/>
    </x:row>
    <x:row r="37" ht="21" customHeight="1">
      <x:c r="A37" s="1"/>
      <x:c r="B37" s="1"/>
      <x:c r="C37" s="1"/>
      <x:c r="D37" s="1"/>
      <x:c r="E37" s="1"/>
    </x:row>
    <x:row r="38" ht="21" customHeight="1">
      <x:c r="A38" s="1"/>
      <x:c r="B38" s="1" t="n">
        <x:f>IF(1&lt;='Inputs'!$B$3,0,INDEX('1 institution'!$B$13:$M$13,1,1-'Inputs'!$B$3))-'1 institution'!B24</x:f>
        <x:v>-2000</x:v>
      </x:c>
      <x:c r="C38" s="1" t="n">
        <x:f>B38+IF(2&lt;='Inputs'!$B$3,0,INDEX('1 institution'!$B$13:$M$13,1,2-'Inputs'!$B$3))-'1 institution'!C24</x:f>
        <x:v>-4000</x:v>
      </x:c>
      <x:c r="D38" s="1" t="n">
        <x:f>C38+IF(3&lt;='Inputs'!$B$3,0,INDEX('1 institution'!$B$13:$M$13,1,3-'Inputs'!$B$3))-'1 institution'!D24</x:f>
        <x:v>-5638.43</x:v>
      </x:c>
      <x:c r="E38" s="1" t="n">
        <x:f>D38+IF(4&lt;='Inputs'!$B$3,0,INDEX('1 institution'!$B$13:$M$13,1,4-'Inputs'!$B$3))-'1 institution'!E24</x:f>
        <x:v>-6688.21</x:v>
      </x:c>
      <x:c r="F38" t="n">
        <x:f>E38+IF(5&lt;='Inputs'!$B$3,0,INDEX('1 institution'!$B$13:$M$13,1,5-'Inputs'!$B$3))-'1 institution'!F24</x:f>
        <x:v>-7588.99</x:v>
      </x:c>
      <x:c r="G38" t="n">
        <x:f>F38+IF(6&lt;='Inputs'!$B$3,0,INDEX('1 institution'!$B$13:$M$13,1,6-'Inputs'!$B$3))-'1 institution'!G24</x:f>
        <x:v>-8489.77</x:v>
      </x:c>
      <x:c r="H38" t="n">
        <x:f>G38+IF(7&lt;='Inputs'!$B$3,0,INDEX('1 institution'!$B$13:$M$13,1,7-'Inputs'!$B$3))-'1 institution'!H24</x:f>
        <x:v>-9390.550000000001</x:v>
      </x:c>
      <x:c r="I38" t="n">
        <x:f>H38+IF(8&lt;='Inputs'!$B$3,0,INDEX('1 institution'!$B$13:$M$13,1,8-'Inputs'!$B$3))-'1 institution'!I24</x:f>
        <x:v>-9791.330000000002</x:v>
      </x:c>
      <x:c r="J38" t="n">
        <x:f>I38+IF(9&lt;='Inputs'!$B$3,0,INDEX('1 institution'!$B$13:$M$13,1,9-'Inputs'!$B$3))-'1 institution'!J24</x:f>
        <x:v>-10192.110000000002</x:v>
      </x:c>
      <x:c r="K38" t="n">
        <x:f>J38+IF(10&lt;='Inputs'!$B$3,0,INDEX('1 institution'!$B$13:$M$13,1,10-'Inputs'!$B$3))-'1 institution'!K24</x:f>
        <x:v>-10592.890000000003</x:v>
      </x:c>
      <x:c r="L38" t="n">
        <x:f>K38+IF(11&lt;='Inputs'!$B$3,0,INDEX('1 institution'!$B$13:$M$13,1,11-'Inputs'!$B$3))-'1 institution'!L24</x:f>
        <x:v>-10993.670000000004</x:v>
      </x:c>
      <x:c r="M38" t="n">
        <x:f>L38+IF(12&lt;='Inputs'!$B$3,0,INDEX('1 institution'!$B$13:$M$13,1,12-'Inputs'!$B$3))-'1 institution'!M24</x:f>
        <x:v>-11394.450000000004</x:v>
      </x:c>
    </x:row>
    <x:row r="39" ht="21" customHeight="1">
      <x:c r="A39" s="1"/>
      <x:c r="B39" s="1" t="n">
        <x:f>IF(1&lt;='Inputs'!$B$3,0,INDEX('10 institutions'!$B$13:$M$13,1,1-'Inputs'!$B$3))-'10 institutions'!B24</x:f>
        <x:v>-3100</x:v>
      </x:c>
      <x:c r="C39" s="1" t="n">
        <x:f>B39+IF(2&lt;='Inputs'!$B$3,0,INDEX('10 institutions'!$B$13:$M$13,1,2-'Inputs'!$B$3))-'10 institutions'!C24</x:f>
        <x:v>-6361.21</x:v>
      </x:c>
      <x:c r="D39" s="1" t="n">
        <x:f>C39+IF(3&lt;='Inputs'!$B$3,0,INDEX('10 institutions'!$B$13:$M$13,1,3-'Inputs'!$B$3))-'10 institutions'!D24</x:f>
        <x:v>-9520.04895</x:v>
      </x:c>
      <x:c r="E39" s="1" t="n">
        <x:f>D39+IF(4&lt;='Inputs'!$B$3,0,INDEX('10 institutions'!$B$13:$M$13,1,4-'Inputs'!$B$3))-'10 institutions'!E24</x:f>
        <x:v>-11462.0979</x:v>
      </x:c>
      <x:c r="F39" t="n">
        <x:f>E39+IF(5&lt;='Inputs'!$B$3,0,INDEX('10 institutions'!$B$13:$M$13,1,5-'Inputs'!$B$3))-'10 institutions'!F24</x:f>
        <x:v>-13659.0008</x:v>
      </x:c>
      <x:c r="G39" t="n">
        <x:f>F39+IF(6&lt;='Inputs'!$B$3,0,INDEX('10 institutions'!$B$13:$M$13,1,6-'Inputs'!$B$3))-'10 institutions'!G24</x:f>
        <x:v>-15536.74265</x:v>
      </x:c>
      <x:c r="H39" t="n">
        <x:f>G39+IF(7&lt;='Inputs'!$B$3,0,INDEX('10 institutions'!$B$13:$M$13,1,7-'Inputs'!$B$3))-'10 institutions'!H24</x:f>
        <x:v>-17291.33845</x:v>
      </x:c>
      <x:c r="I39" t="n">
        <x:f>H39+IF(8&lt;='Inputs'!$B$3,0,INDEX('10 institutions'!$B$13:$M$13,1,8-'Inputs'!$B$3))-'10 institutions'!I24</x:f>
        <x:v>-18922.7882</x:v>
      </x:c>
      <x:c r="J39" t="n">
        <x:f>I39+IF(9&lt;='Inputs'!$B$3,0,INDEX('10 institutions'!$B$13:$M$13,1,9-'Inputs'!$B$3))-'10 institutions'!J24</x:f>
        <x:v>-19931.0919</x:v>
      </x:c>
      <x:c r="K39" t="n">
        <x:f>J39+IF(10&lt;='Inputs'!$B$3,0,INDEX('10 institutions'!$B$13:$M$13,1,10-'Inputs'!$B$3))-'10 institutions'!K24</x:f>
        <x:v>-20816.24955</x:v>
      </x:c>
      <x:c r="L39" t="n">
        <x:f>K39+IF(11&lt;='Inputs'!$B$3,0,INDEX('10 institutions'!$B$13:$M$13,1,11-'Inputs'!$B$3))-'10 institutions'!L24</x:f>
        <x:v>-21078.261150000002</x:v>
      </x:c>
      <x:c r="M39" t="n">
        <x:f>L39+IF(12&lt;='Inputs'!$B$3,0,INDEX('10 institutions'!$B$13:$M$13,1,12-'Inputs'!$B$3))-'10 institutions'!M24</x:f>
        <x:v>-21217.1267</x:v>
      </x:c>
    </x:row>
    <x:row r="40" ht="21" customHeight="1">
      <x:c r="A40" s="1"/>
      <x:c r="B40" s="1" t="n">
        <x:f>IF(1&lt;='Inputs'!$B$3,0,INDEX('100 institutions'!$B$13:$M$13,1,1-'Inputs'!$B$3))-'100 institutions'!B24</x:f>
        <x:v>-9550</x:v>
      </x:c>
      <x:c r="C40" s="1" t="n">
        <x:f>B40+IF(2&lt;='Inputs'!$B$3,0,INDEX('100 institutions'!$B$13:$M$13,1,2-'Inputs'!$B$3))-'100 institutions'!C24</x:f>
        <x:v>-19271.36</x:v>
      </x:c>
      <x:c r="D40" s="1" t="n">
        <x:f>C40+IF(3&lt;='Inputs'!$B$3,0,INDEX('100 institutions'!$B$13:$M$13,1,3-'Inputs'!$B$3))-'100 institutions'!D24</x:f>
        <x:v>-27833.06895</x:v>
      </x:c>
      <x:c r="E40" s="1" t="n">
        <x:f>D40+IF(4&lt;='Inputs'!$B$3,0,INDEX('100 institutions'!$B$13:$M$13,1,4-'Inputs'!$B$3))-'100 institutions'!E24</x:f>
        <x:v>-34222.2558</x:v>
      </x:c>
      <x:c r="F40" t="n">
        <x:f>E40+IF(5&lt;='Inputs'!$B$3,0,INDEX('100 institutions'!$B$13:$M$13,1,5-'Inputs'!$B$3))-'100 institutions'!F24</x:f>
        <x:v>-41238.51555</x:v>
      </x:c>
      <x:c r="G40" t="n">
        <x:f>F40+IF(6&lt;='Inputs'!$B$3,0,INDEX('100 institutions'!$B$13:$M$13,1,6-'Inputs'!$B$3))-'100 institutions'!G24</x:f>
        <x:v>-46784.83005</x:v>
      </x:c>
      <x:c r="H40" t="n">
        <x:f>G40+IF(7&lt;='Inputs'!$B$3,0,INDEX('100 institutions'!$B$13:$M$13,1,7-'Inputs'!$B$3))-'100 institutions'!H24</x:f>
        <x:v>-51265.30615</x:v>
      </x:c>
      <x:c r="I40" t="n">
        <x:f>H40+IF(8&lt;='Inputs'!$B$3,0,INDEX('100 institutions'!$B$13:$M$13,1,8-'Inputs'!$B$3))-'100 institutions'!I24</x:f>
        <x:v>-55124.46675</x:v>
      </x:c>
      <x:c r="J40" t="n">
        <x:f>I40+IF(9&lt;='Inputs'!$B$3,0,INDEX('100 institutions'!$B$13:$M$13,1,9-'Inputs'!$B$3))-'100 institutions'!J24</x:f>
        <x:v>-58438.694749999995</x:v>
      </x:c>
      <x:c r="K40" t="n">
        <x:f>J40+IF(10&lt;='Inputs'!$B$3,0,INDEX('100 institutions'!$B$13:$M$13,1,10-'Inputs'!$B$3))-'100 institutions'!K24</x:f>
        <x:v>-60471.90699999999</x:v>
      </x:c>
      <x:c r="L40" t="n">
        <x:f>K40+IF(11&lt;='Inputs'!$B$3,0,INDEX('100 institutions'!$B$13:$M$13,1,11-'Inputs'!$B$3))-'100 institutions'!L24</x:f>
        <x:v>-58834.633499999996</x:v>
      </x:c>
      <x:c r="M40" t="n">
        <x:f>L40+IF(12&lt;='Inputs'!$B$3,0,INDEX('100 institutions'!$B$13:$M$13,1,12-'Inputs'!$B$3))-'100 institutions'!M24</x:f>
        <x:v>-55014.91924999999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6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1" customHeight="1">
      <x:c r="A1" s="2" t="str">
        <x:v>AltContext pricing assumptions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1" t="str">
        <x:v>USD. Still images. Yellow cells are editable. Prices and workloads are hypotheses.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1" customHeight="1">
      <x:c r="A3" s="1" t="str">
        <x:v>Collection lag stress</x:v>
      </x:c>
      <x:c r="B3" s="4" t="n">
        <x:v>2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1" customHeight="1">
      <x:c r="A4" s="1" t="str">
        <x:v>First projection month</x:v>
      </x:c>
      <x:c r="B4" s="7" t="n">
        <x:v>46327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1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9" t="str">
        <x:v>Plan</x:v>
      </x:c>
      <x:c r="B7" s="9" t="str">
        <x:v>Department</x:v>
      </x:c>
      <x:c r="C7" s="9" t="str">
        <x:v>Team</x:v>
      </x:c>
      <x:c r="D7" s="9" t="str">
        <x:v>Agency</x:v>
      </x:c>
      <x:c r="E7" s="9" t="str">
        <x:v>Units</x:v>
      </x:c>
      <x:c r="F7" s="9" t="str">
        <x:v>Basis</x:v>
      </x:c>
      <x:c r="G7" s="1"/>
      <x:c r="H7" s="1"/>
      <x:c r="I7" s="1"/>
      <x:c r="J7" s="1"/>
      <x:c r="K7" s="1"/>
      <x:c r="L7" s="1"/>
      <x:c r="M7" s="1"/>
      <x:c r="N7" s="1"/>
    </x:row>
    <x:row r="8" ht="21" customHeight="1">
      <x:c r="A8" s="1" t="str">
        <x:v>Monthly price</x:v>
      </x:c>
      <x:c r="B8" s="10" t="n">
        <x:v>149</x:v>
      </x:c>
      <x:c r="C8" s="10" t="n">
        <x:v>249</x:v>
      </x:c>
      <x:c r="D8" s="10" t="n">
        <x:v>399</x:v>
      </x:c>
      <x:c r="E8" s="1" t="str">
        <x:v>USD/month</x:v>
      </x:c>
      <x:c r="F8" s="16" t="str">
        <x:v>Proposed launch offer; validate with paid pilots.</x:v>
      </x:c>
      <x:c r="G8" s="1"/>
      <x:c r="H8" s="1"/>
      <x:c r="I8" s="1"/>
      <x:c r="J8" s="1"/>
      <x:c r="K8" s="1"/>
      <x:c r="L8" s="1"/>
      <x:c r="M8" s="1"/>
      <x:c r="N8" s="1"/>
    </x:row>
    <x:row r="9" ht="21" customHeight="1">
      <x:c r="A9" s="1" t="str">
        <x:v>Monthly allowance</x:v>
      </x:c>
      <x:c r="B9" s="4" t="n">
        <x:v>2000</x:v>
      </x:c>
      <x:c r="C9" s="4" t="n">
        <x:v>5000</x:v>
      </x:c>
      <x:c r="D9" s="4" t="n">
        <x:v>10000</x:v>
      </x:c>
      <x:c r="E9" s="1" t="str">
        <x:v>images/month</x:v>
      </x:c>
      <x:c r="F9" s="16" t="str">
        <x:v>Proposed launch offer; validate with paid pilots.</x:v>
      </x:c>
      <x:c r="G9" s="1"/>
      <x:c r="H9" s="1"/>
      <x:c r="I9" s="1"/>
      <x:c r="J9" s="1"/>
      <x:c r="K9" s="1"/>
      <x:c r="L9" s="1"/>
      <x:c r="M9" s="1"/>
      <x:c r="N9" s="1"/>
    </x:row>
    <x:row r="10" ht="21" customHeight="1">
      <x:c r="A10" s="1" t="str">
        <x:v>Annual price</x:v>
      </x:c>
      <x:c r="B10" s="10" t="n">
        <x:v>1490</x:v>
      </x:c>
      <x:c r="C10" s="10" t="n">
        <x:v>2490</x:v>
      </x:c>
      <x:c r="D10" s="10" t="n">
        <x:v>3990</x:v>
      </x:c>
      <x:c r="E10" s="1" t="str">
        <x:v>USD/year</x:v>
      </x:c>
      <x:c r="F10" s="16" t="str">
        <x:v>Proposed launch offer; validate with paid pilots.</x:v>
      </x:c>
      <x:c r="G10" s="1"/>
      <x:c r="H10" s="1"/>
      <x:c r="I10" s="1"/>
      <x:c r="J10" s="1"/>
      <x:c r="K10" s="1"/>
      <x:c r="L10" s="1"/>
      <x:c r="M10" s="1"/>
      <x:c r="N10" s="1"/>
    </x:row>
    <x:row r="11" ht="21" customHeight="1">
      <x:c r="A11" s="1" t="str">
        <x:v>Annual pool</x:v>
      </x:c>
      <x:c r="B11" s="4" t="n">
        <x:v>24000</x:v>
      </x:c>
      <x:c r="C11" s="4" t="n">
        <x:v>60000</x:v>
      </x:c>
      <x:c r="D11" s="4" t="n">
        <x:v>120000</x:v>
      </x:c>
      <x:c r="E11" s="1" t="str">
        <x:v>images/year</x:v>
      </x:c>
      <x:c r="F11" s="16" t="str">
        <x:v>Proposed launch offer; validate with paid pilots.</x:v>
      </x:c>
      <x:c r="G11" s="1"/>
      <x:c r="H11" s="1"/>
      <x:c r="I11" s="1"/>
      <x:c r="J11" s="1"/>
      <x:c r="K11" s="1"/>
      <x:c r="L11" s="1"/>
      <x:c r="M11" s="1"/>
      <x:c r="N11" s="1"/>
    </x:row>
    <x:row r="12" ht="21" customHeight="1">
      <x:c r="A12" s="1" t="str">
        <x:v>Top-up price</x:v>
      </x:c>
      <x:c r="B12" s="11" t="n">
        <x:v>0.06</x:v>
      </x:c>
      <x:c r="C12" s="11" t="n">
        <x:v>0.05</x:v>
      </x:c>
      <x:c r="D12" s="11" t="n">
        <x:v>0.045</x:v>
      </x:c>
      <x:c r="E12" s="1" t="str">
        <x:v>USD/image</x:v>
      </x:c>
      <x:c r="F12" s="16" t="str">
        <x:v>Proposed launch offer; validate with paid pilots.</x:v>
      </x:c>
      <x:c r="G12" s="1"/>
      <x:c r="H12" s="1"/>
      <x:c r="I12" s="1"/>
      <x:c r="J12" s="1"/>
      <x:c r="K12" s="1"/>
      <x:c r="L12" s="1"/>
      <x:c r="M12" s="1"/>
      <x:c r="N12" s="1"/>
    </x:row>
    <x:row r="13" ht="21" customHeight="1">
      <x:c r="A13" s="1"/>
      <x:c r="B13" s="1"/>
      <x:c r="C13" s="1"/>
      <x:c r="D13" s="1"/>
      <x:c r="E13" s="1"/>
      <x:c r="F13" s="16"/>
      <x:c r="G13" s="1"/>
      <x:c r="H13" s="1"/>
      <x:c r="I13" s="1"/>
      <x:c r="J13" s="1"/>
      <x:c r="K13" s="1"/>
      <x:c r="L13" s="1"/>
      <x:c r="M13" s="1"/>
      <x:c r="N13" s="1"/>
    </x:row>
    <x:row r="14" ht="21" customHeight="1">
      <x:c r="A14" s="1"/>
      <x:c r="B14" s="1"/>
      <x:c r="C14" s="1"/>
      <x:c r="D14" s="1"/>
      <x:c r="E14" s="1"/>
      <x:c r="F14" s="16"/>
      <x:c r="G14" s="1"/>
      <x:c r="H14" s="1"/>
      <x:c r="I14" s="1"/>
      <x:c r="J14" s="1"/>
      <x:c r="K14" s="1"/>
      <x:c r="L14" s="1"/>
      <x:c r="M14" s="1"/>
      <x:c r="N14" s="1"/>
    </x:row>
    <x:row r="15" ht="28" customHeight="1">
      <x:c r="A15" s="9" t="str">
        <x:v>Scenario</x:v>
      </x:c>
      <x:c r="B15" s="9" t="str">
        <x:v>1 institution</x:v>
      </x:c>
      <x:c r="C15" s="9" t="str">
        <x:v>10 institutions</x:v>
      </x:c>
      <x:c r="D15" s="9" t="str">
        <x:v>100 institutions</x:v>
      </x:c>
      <x:c r="E15" s="9" t="str">
        <x:v>Units</x:v>
      </x:c>
      <x:c r="F15" s="17" t="str">
        <x:v>Basis</x:v>
      </x:c>
      <x:c r="G15" s="1"/>
      <x:c r="H15" s="1"/>
      <x:c r="I15" s="1"/>
      <x:c r="J15" s="1"/>
      <x:c r="K15" s="1"/>
      <x:c r="L15" s="1"/>
      <x:c r="M15" s="1"/>
      <x:c r="N15" s="1"/>
    </x:row>
    <x:row r="16" ht="21" customHeight="1">
      <x:c r="A16" s="1" t="str">
        <x:v>Department share</x:v>
      </x:c>
      <x:c r="B16" s="12" t="n">
        <x:v>1</x:v>
      </x:c>
      <x:c r="C16" s="12" t="n">
        <x:v>0.7</x:v>
      </x:c>
      <x:c r="D16" s="12" t="n">
        <x:v>0.6</x:v>
      </x:c>
      <x:c r="E16" s="1"/>
      <x:c r="F16" s="16"/>
      <x:c r="G16" s="1"/>
      <x:c r="H16" s="1"/>
      <x:c r="I16" s="1"/>
      <x:c r="J16" s="1"/>
      <x:c r="K16" s="1"/>
      <x:c r="L16" s="1"/>
      <x:c r="M16" s="1"/>
      <x:c r="N16" s="1"/>
    </x:row>
    <x:row r="17" ht="21" customHeight="1">
      <x:c r="A17" s="1" t="str">
        <x:v>Team share</x:v>
      </x:c>
      <x:c r="B17" s="12" t="n">
        <x:v>0</x:v>
      </x:c>
      <x:c r="C17" s="12" t="n">
        <x:v>0.3</x:v>
      </x:c>
      <x:c r="D17" s="12" t="n">
        <x:v>0.25</x:v>
      </x:c>
      <x:c r="E17" s="1"/>
      <x:c r="F17" s="16"/>
      <x:c r="G17" s="1"/>
      <x:c r="H17" s="1"/>
      <x:c r="I17" s="1"/>
      <x:c r="J17" s="1"/>
      <x:c r="K17" s="1"/>
      <x:c r="L17" s="1"/>
      <x:c r="M17" s="1"/>
      <x:c r="N17" s="1"/>
    </x:row>
    <x:row r="18" ht="21" customHeight="1">
      <x:c r="A18" s="1" t="str">
        <x:v>Agency share</x:v>
      </x:c>
      <x:c r="B18" s="12" t="n">
        <x:v>0</x:v>
      </x:c>
      <x:c r="C18" s="12" t="n">
        <x:v>0</x:v>
      </x:c>
      <x:c r="D18" s="12" t="n">
        <x:v>0.15</x:v>
      </x:c>
      <x:c r="E18" s="1"/>
      <x:c r="F18" s="16"/>
      <x:c r="G18" s="1"/>
      <x:c r="H18" s="1"/>
      <x:c r="I18" s="1"/>
      <x:c r="J18" s="1"/>
      <x:c r="K18" s="1"/>
      <x:c r="L18" s="1"/>
      <x:c r="M18" s="1"/>
      <x:c r="N18" s="1"/>
    </x:row>
    <x:row r="19" ht="21" customHeight="1">
      <x:c r="A19" s="1" t="str">
        <x:v>Average monthly price</x:v>
      </x:c>
      <x:c r="B19" s="13" t="n">
        <x:f>B16*$B$8+B17*$C$8+B18*$D$8</x:f>
        <x:v>149</x:v>
      </x:c>
      <x:c r="C19" s="13" t="n">
        <x:f>C16*$B$8+C17*$C$8+C18*$D$8</x:f>
        <x:v>179</x:v>
      </x:c>
      <x:c r="D19" s="13" t="n">
        <x:f>D16*$B$8+D17*$C$8+D18*$D$8</x:f>
        <x:v>211.49999999999997</x:v>
      </x:c>
      <x:c r="E19" s="1"/>
      <x:c r="F19" s="16"/>
      <x:c r="G19" s="1"/>
      <x:c r="H19" s="1"/>
      <x:c r="I19" s="1"/>
      <x:c r="J19" s="1"/>
      <x:c r="K19" s="1"/>
      <x:c r="L19" s="1"/>
      <x:c r="M19" s="1"/>
      <x:c r="N19" s="1"/>
    </x:row>
    <x:row r="20" ht="21" customHeight="1">
      <x:c r="A20" s="1" t="str">
        <x:v>Average monthly allowance</x:v>
      </x:c>
      <x:c r="B20" s="1" t="n">
        <x:f>B16*$B$9+B17*$C$9+B18*$D$9</x:f>
        <x:v>2000</x:v>
      </x:c>
      <x:c r="C20" s="1" t="n">
        <x:f>C16*$B$9+C17*$C$9+C18*$D$9</x:f>
        <x:v>2900</x:v>
      </x:c>
      <x:c r="D20" s="1" t="n">
        <x:f>D16*$B$9+D17*$C$9+D18*$D$9</x:f>
        <x:v>3950</x:v>
      </x:c>
      <x:c r="E20" s="1"/>
      <x:c r="F20" s="16"/>
      <x:c r="G20" s="1"/>
      <x:c r="H20" s="1"/>
      <x:c r="I20" s="1"/>
      <x:c r="J20" s="1"/>
      <x:c r="K20" s="1"/>
      <x:c r="L20" s="1"/>
      <x:c r="M20" s="1"/>
      <x:c r="N20" s="1"/>
    </x:row>
    <x:row r="21" ht="21" customHeight="1">
      <x:c r="A21" s="1" t="str">
        <x:v>Setup fee per new account</x:v>
      </x:c>
      <x:c r="B21" s="10" t="n">
        <x:v>0</x:v>
      </x:c>
      <x:c r="C21" s="10" t="n">
        <x:v>199</x:v>
      </x:c>
      <x:c r="D21" s="10" t="n">
        <x:v>199</x:v>
      </x:c>
      <x:c r="E21" s="1"/>
      <x:c r="F21" s="16" t="str">
        <x:v>First pilot waived; other cases assume paid onboarding. Remove if uncollectable.</x:v>
      </x:c>
      <x:c r="G21" s="1"/>
      <x:c r="H21" s="1"/>
      <x:c r="I21" s="1"/>
      <x:c r="J21" s="1"/>
      <x:c r="K21" s="1"/>
      <x:c r="L21" s="1"/>
      <x:c r="M21" s="1"/>
      <x:c r="N21" s="1"/>
    </x:row>
    <x:row r="22" ht="21" customHeight="1">
      <x:c r="A22" s="1"/>
      <x:c r="B22" s="1"/>
      <x:c r="C22" s="1"/>
      <x:c r="D22" s="1"/>
      <x:c r="E22" s="1"/>
      <x:c r="F22" s="16"/>
      <x:c r="G22" s="1"/>
      <x:c r="H22" s="1"/>
      <x:c r="I22" s="1"/>
      <x:c r="J22" s="1"/>
      <x:c r="K22" s="1"/>
      <x:c r="L22" s="1"/>
      <x:c r="M22" s="1"/>
      <x:c r="N22" s="1"/>
    </x:row>
    <x:row r="23" ht="21" customHeight="1">
      <x:c r="A23" s="1"/>
      <x:c r="B23" s="1"/>
      <x:c r="C23" s="1"/>
      <x:c r="D23" s="1"/>
      <x:c r="E23" s="1"/>
      <x:c r="F23" s="16"/>
      <x:c r="G23" s="1"/>
      <x:c r="H23" s="1"/>
      <x:c r="I23" s="1"/>
      <x:c r="J23" s="1"/>
      <x:c r="K23" s="1"/>
      <x:c r="L23" s="1"/>
      <x:c r="M23" s="1"/>
      <x:c r="N23" s="1"/>
    </x:row>
    <x:row r="24" ht="38" customHeight="1">
      <x:c r="A24" s="1" t="str">
        <x:v>Allowance used</x:v>
      </x:c>
      <x:c r="B24" s="15" t="n">
        <x:v>0.5</x:v>
      </x:c>
      <x:c r="C24" s="1"/>
      <x:c r="D24" s="1"/>
      <x:c r="E24" s="1" t="str">
        <x:v>fraction</x:v>
      </x:c>
      <x:c r="F24" s="16" t="str">
        <x:v>Planning workload, not measured production.</x:v>
      </x:c>
      <x:c r="G24" s="1"/>
      <x:c r="H24" s="1"/>
      <x:c r="I24" s="1"/>
      <x:c r="J24" s="1"/>
      <x:c r="K24" s="1"/>
      <x:c r="L24" s="1"/>
      <x:c r="M24" s="1"/>
      <x:c r="N24" s="1"/>
    </x:row>
    <x:row r="25" ht="38" customHeight="1">
      <x:c r="A25" s="1" t="str">
        <x:v>Variable image cost</x:v>
      </x:c>
      <x:c r="B25" s="11" t="n">
        <x:v>0.015</x:v>
      </x:c>
      <x:c r="C25" s="1"/>
      <x:c r="D25" s="1"/>
      <x:c r="E25" s="1" t="str">
        <x:v>USD/image</x:v>
      </x:c>
      <x:c r="F25" s="16" t="str">
        <x:v>Budget for compute, retries and transient handling. Fixed infrastructure is separate.</x:v>
      </x:c>
      <x:c r="G25" s="1"/>
      <x:c r="H25" s="1"/>
      <x:c r="I25" s="1"/>
      <x:c r="J25" s="1"/>
      <x:c r="K25" s="1"/>
      <x:c r="L25" s="1"/>
      <x:c r="M25" s="1"/>
      <x:c r="N25" s="1"/>
    </x:row>
    <x:row r="26" ht="38" customHeight="1">
      <x:c r="A26" s="1" t="str">
        <x:v>Payment percentage</x:v>
      </x:c>
      <x:c r="B26" s="15" t="n">
        <x:v>0.05</x:v>
      </x:c>
      <x:c r="C26" s="1"/>
      <x:c r="D26" s="1"/>
      <x:c r="E26" s="1" t="str">
        <x:v>fraction</x:v>
      </x:c>
      <x:c r="F26" s="16" t="str">
        <x:v>Polar Starter published base rate; optional plans and extras are sensitivity.</x:v>
      </x:c>
      <x:c r="G26" s="1"/>
      <x:c r="H26" s="1"/>
      <x:c r="I26" s="1"/>
      <x:c r="J26" s="1"/>
      <x:c r="K26" s="1"/>
      <x:c r="L26" s="1"/>
      <x:c r="M26" s="1"/>
      <x:c r="N26" s="1"/>
    </x:row>
    <x:row r="27" ht="38" customHeight="1">
      <x:c r="A27" s="1" t="str">
        <x:v>Fixed payment fee</x:v>
      </x:c>
      <x:c r="B27" s="4" t="n">
        <x:v>0.5</x:v>
      </x:c>
      <x:c r="C27" s="1"/>
      <x:c r="D27" s="1"/>
      <x:c r="E27" s="1" t="str">
        <x:v>USD/invoice</x:v>
      </x:c>
      <x:c r="F27" s="16" t="str">
        <x:v>One monthly invoice per active account; setup bundled into that invoice.</x:v>
      </x:c>
      <x:c r="G27" s="1"/>
      <x:c r="H27" s="1"/>
      <x:c r="I27" s="1"/>
      <x:c r="J27" s="1"/>
      <x:c r="K27" s="1"/>
      <x:c r="L27" s="1"/>
      <x:c r="M27" s="1"/>
      <x:c r="N27" s="1"/>
    </x:row>
    <x:row r="28" ht="38" customHeight="1">
      <x:c r="A28" s="1" t="str">
        <x:v>Refund and collection allowance</x:v>
      </x:c>
      <x:c r="B28" s="15" t="n">
        <x:v>0.02</x:v>
      </x:c>
      <x:c r="C28" s="1"/>
      <x:c r="D28" s="1"/>
      <x:c r="E28" s="1" t="str">
        <x:v>fraction</x:v>
      </x:c>
      <x:c r="F28" s="16" t="str">
        <x:v>Planning reserve, separate from payment fees.</x:v>
      </x:c>
      <x:c r="G28" s="1"/>
      <x:c r="H28" s="1"/>
      <x:c r="I28" s="1"/>
      <x:c r="J28" s="1"/>
      <x:c r="K28" s="1"/>
      <x:c r="L28" s="1"/>
      <x:c r="M28" s="1"/>
      <x:c r="N28" s="1"/>
    </x:row>
    <x:row r="29" ht="38" customHeight="1">
      <x:c r="A29" s="1" t="str">
        <x:v>Monthly customer churn</x:v>
      </x:c>
      <x:c r="B29" s="15" t="n">
        <x:v>0.015</x:v>
      </x:c>
      <x:c r="C29" s="1"/>
      <x:c r="D29" s="1"/>
      <x:c r="E29" s="1" t="str">
        <x:v>fraction</x:v>
      </x:c>
      <x:c r="F29" s="16" t="str">
        <x:v>Replacement adds preserve the entered active-account targets.</x:v>
      </x:c>
      <x:c r="G29" s="1"/>
      <x:c r="H29" s="1"/>
      <x:c r="I29" s="1"/>
      <x:c r="J29" s="1"/>
      <x:c r="K29" s="1"/>
      <x:c r="L29" s="1"/>
      <x:c r="M29" s="1"/>
      <x:c r="N29" s="1"/>
    </x:row>
    <x:row r="30" ht="38" customHeight="1">
      <x:c r="A30" s="1" t="str">
        <x:v>Support hours per account</x:v>
      </x:c>
      <x:c r="B30" s="4" t="n">
        <x:v>0.5</x:v>
      </x:c>
      <x:c r="C30" s="1"/>
      <x:c r="D30" s="1"/>
      <x:c r="E30" s="1" t="str">
        <x:v>hours/month</x:v>
      </x:c>
      <x:c r="F30" s="16" t="str">
        <x:v>Paid support operator; excludes reviewing every description.</x:v>
      </x:c>
      <x:c r="G30" s="1"/>
      <x:c r="H30" s="1"/>
      <x:c r="I30" s="1"/>
      <x:c r="J30" s="1"/>
      <x:c r="K30" s="1"/>
      <x:c r="L30" s="1"/>
      <x:c r="M30" s="1"/>
      <x:c r="N30" s="1"/>
    </x:row>
    <x:row r="31" ht="38" customHeight="1">
      <x:c r="A31" s="1" t="str">
        <x:v>Onboarding hours per new account</x:v>
      </x:c>
      <x:c r="B31" s="4" t="n">
        <x:v>2</x:v>
      </x:c>
      <x:c r="C31" s="1"/>
      <x:c r="D31" s="1"/>
      <x:c r="E31" s="1" t="str">
        <x:v>hours/account</x:v>
      </x:c>
      <x:c r="F31" s="16" t="str">
        <x:v>Paid operator work in addition to development contracts.</x:v>
      </x:c>
      <x:c r="G31" s="1"/>
      <x:c r="H31" s="1"/>
      <x:c r="I31" s="1"/>
      <x:c r="J31" s="1"/>
      <x:c r="K31" s="1"/>
      <x:c r="L31" s="1"/>
      <x:c r="M31" s="1"/>
      <x:c r="N31" s="1"/>
    </x:row>
    <x:row r="32" ht="38" customHeight="1">
      <x:c r="A32" s="1" t="str">
        <x:v>Support operator rate</x:v>
      </x:c>
      <x:c r="B32" s="4" t="n">
        <x:v>45</x:v>
      </x:c>
      <x:c r="C32" s="1"/>
      <x:c r="D32" s="1"/>
      <x:c r="E32" s="1" t="str">
        <x:v>USD/hour</x:v>
      </x:c>
      <x:c r="F32" s="16" t="str">
        <x:v>Budget assumption, independent of founder labor.</x:v>
      </x:c>
      <x:c r="G32" s="1"/>
      <x:c r="H32" s="1"/>
      <x:c r="I32" s="1"/>
      <x:c r="J32" s="1"/>
      <x:c r="K32" s="1"/>
      <x:c r="L32" s="1"/>
      <x:c r="M32" s="1"/>
      <x:c r="N32" s="1"/>
    </x:row>
    <x:row r="33" ht="38" customHeight="1">
      <x:c r="A33" s="1" t="str">
        <x:v>Collection lag</x:v>
      </x:c>
      <x:c r="B33" s="4" t="n">
        <x:v>0</x:v>
      </x:c>
      <x:c r="C33" s="1"/>
      <x:c r="D33" s="1"/>
      <x:c r="E33" s="1" t="str">
        <x:v>whole months</x:v>
      </x:c>
      <x:c r="F33" s="16" t="str">
        <x:v>Zero is prepaid/card; set 1 or 2 for invoice collection delay.</x:v>
      </x:c>
      <x:c r="G33" s="1"/>
      <x:c r="H33" s="1"/>
      <x:c r="I33" s="1"/>
      <x:c r="J33" s="1"/>
      <x:c r="K33" s="1"/>
      <x:c r="L33" s="1"/>
      <x:c r="M33" s="1"/>
      <x:c r="N33" s="1"/>
    </x:row>
    <x:row r="34" ht="38" customHeight="1">
      <x:c r="A34" s="1" t="str">
        <x:v>Annual discount stress</x:v>
      </x:c>
      <x:c r="B34" s="15" t="n">
        <x:v>0.1666666666666667</x:v>
      </x:c>
      <x:c r="C34" s="1"/>
      <x:c r="D34" s="1"/>
      <x:c r="E34" s="1" t="str">
        <x:v>fraction</x:v>
      </x:c>
      <x:c r="F34" s="16" t="str">
        <x:v>Ten monthly payments for twelve months reduces recognized subscription revenue by one sixth.</x:v>
      </x:c>
      <x:c r="G34" s="1"/>
      <x:c r="H34" s="1"/>
      <x:c r="I34" s="1"/>
      <x:c r="J34" s="1"/>
      <x:c r="K34" s="1"/>
      <x:c r="L34" s="1"/>
      <x:c r="M34" s="1"/>
      <x:c r="N34" s="1"/>
    </x:row>
    <x:row r="35" ht="38" customHeight="1">
      <x:c r="A35" s="1" t="str">
        <x:v>Variable image cost stress</x:v>
      </x:c>
      <x:c r="B35" s="11" t="n">
        <x:v>0.03</x:v>
      </x:c>
      <x:c r="C35" s="1"/>
      <x:c r="D35" s="1"/>
      <x:c r="E35" s="1" t="str">
        <x:v>USD/image</x:v>
      </x:c>
      <x:c r="F35" s="16" t="str">
        <x:v>Unmeasured conservative alternative to the base cost.</x:v>
      </x:c>
      <x:c r="G35" s="1"/>
      <x:c r="H35" s="1"/>
      <x:c r="I35" s="1"/>
      <x:c r="J35" s="1"/>
      <x:c r="K35" s="1"/>
      <x:c r="L35" s="1"/>
      <x:c r="M35" s="1"/>
      <x:c r="N35" s="1"/>
    </x:row>
    <x:row r="36" ht="38" customHeight="1">
      <x:c r="A36" s="1" t="str">
        <x:v>Funding reserve buffer</x:v>
      </x:c>
      <x:c r="B36" s="12" t="n">
        <x:v>0.2</x:v>
      </x:c>
      <x:c r="C36" s="1"/>
      <x:c r="D36" s="1"/>
      <x:c r="E36" s="1" t="str">
        <x:v>fraction</x:v>
      </x:c>
      <x:c r="F36" s="16" t="str">
        <x:v>Assumed contingency, beyond calculated peak cash requirement.</x:v>
      </x:c>
      <x:c r="G36" s="1"/>
      <x:c r="H36" s="1"/>
      <x:c r="I36" s="1"/>
      <x:c r="J36" s="1"/>
      <x:c r="K36" s="1"/>
      <x:c r="L36" s="1"/>
      <x:c r="M36" s="1"/>
      <x:c r="N36" s="1"/>
    </x:row>
    <x:row r="37" ht="28" customHeight="1">
      <x:c r="A37" s="9" t="str">
        <x:v>Active paying accounts</x:v>
      </x:c>
      <x:c r="B37" s="9" t="str">
        <x:v>M1</x:v>
      </x:c>
      <x:c r="C37" s="9" t="str">
        <x:v>M2</x:v>
      </x:c>
      <x:c r="D37" s="9" t="str">
        <x:v>M3</x:v>
      </x:c>
      <x:c r="E37" s="9" t="str">
        <x:v>M4</x:v>
      </x:c>
      <x:c r="F37" s="9" t="str">
        <x:v>M5</x:v>
      </x:c>
      <x:c r="G37" s="9" t="str">
        <x:v>M6</x:v>
      </x:c>
      <x:c r="H37" s="9" t="str">
        <x:v>M7</x:v>
      </x:c>
      <x:c r="I37" s="9" t="str">
        <x:v>M8</x:v>
      </x:c>
      <x:c r="J37" s="9" t="str">
        <x:v>M9</x:v>
      </x:c>
      <x:c r="K37" s="9" t="str">
        <x:v>M10</x:v>
      </x:c>
      <x:c r="L37" s="9" t="str">
        <x:v>M11</x:v>
      </x:c>
      <x:c r="M37" s="9" t="str">
        <x:v>M12</x:v>
      </x:c>
      <x:c r="N37" s="1"/>
    </x:row>
    <x:row r="38" ht="21" customHeight="1">
      <x:c r="A38" s="1" t="str">
        <x:v>1 institution</x:v>
      </x:c>
      <x:c r="B38" s="4" t="n">
        <x:v>0</x:v>
      </x:c>
      <x:c r="C38" s="4" t="n">
        <x:v>0</x:v>
      </x:c>
      <x:c r="D38" s="4" t="n">
        <x:v>1</x:v>
      </x:c>
      <x:c r="E38" s="4" t="n">
        <x:v>1</x:v>
      </x:c>
      <x:c r="F38" s="4" t="n">
        <x:v>1</x:v>
      </x:c>
      <x:c r="G38" s="4" t="n">
        <x:v>1</x:v>
      </x:c>
      <x:c r="H38" s="4" t="n">
        <x:v>1</x:v>
      </x:c>
      <x:c r="I38" s="4" t="n">
        <x:v>1</x:v>
      </x:c>
      <x:c r="J38" s="4" t="n">
        <x:v>1</x:v>
      </x:c>
      <x:c r="K38" s="4" t="n">
        <x:v>1</x:v>
      </x:c>
      <x:c r="L38" s="4" t="n">
        <x:v>1</x:v>
      </x:c>
      <x:c r="M38" s="4" t="n">
        <x:v>1</x:v>
      </x:c>
      <x:c r="N38" s="1"/>
    </x:row>
    <x:row r="39" ht="21" customHeight="1">
      <x:c r="A39" s="1" t="str">
        <x:v>10 institutions</x:v>
      </x:c>
      <x:c r="B39" s="4" t="n">
        <x:v>0</x:v>
      </x:c>
      <x:c r="C39" s="4" t="n">
        <x:v>1</x:v>
      </x:c>
      <x:c r="D39" s="4" t="n">
        <x:v>1</x:v>
      </x:c>
      <x:c r="E39" s="4" t="n">
        <x:v>2</x:v>
      </x:c>
      <x:c r="F39" s="4" t="n">
        <x:v>3</x:v>
      </x:c>
      <x:c r="G39" s="4" t="n">
        <x:v>4</x:v>
      </x:c>
      <x:c r="H39" s="4" t="n">
        <x:v>5</x:v>
      </x:c>
      <x:c r="I39" s="4" t="n">
        <x:v>6</x:v>
      </x:c>
      <x:c r="J39" s="4" t="n">
        <x:v>7</x:v>
      </x:c>
      <x:c r="K39" s="4" t="n">
        <x:v>8</x:v>
      </x:c>
      <x:c r="L39" s="4" t="n">
        <x:v>9</x:v>
      </x:c>
      <x:c r="M39" s="4" t="n">
        <x:v>10</x:v>
      </x:c>
      <x:c r="N39" s="1"/>
    </x:row>
    <x:row r="40" ht="21" customHeight="1">
      <x:c r="A40" s="1" t="str">
        <x:v>100 institutions</x:v>
      </x:c>
      <x:c r="B40" s="4" t="n">
        <x:v>0</x:v>
      </x:c>
      <x:c r="C40" s="4" t="n">
        <x:v>1</x:v>
      </x:c>
      <x:c r="D40" s="4" t="n">
        <x:v>3</x:v>
      </x:c>
      <x:c r="E40" s="4" t="n">
        <x:v>5</x:v>
      </x:c>
      <x:c r="F40" s="4" t="n">
        <x:v>10</x:v>
      </x:c>
      <x:c r="G40" s="4" t="n">
        <x:v>18</x:v>
      </x:c>
      <x:c r="H40" s="4" t="n">
        <x:v>28</x:v>
      </x:c>
      <x:c r="I40" s="4" t="n">
        <x:v>40</x:v>
      </x:c>
      <x:c r="J40" s="4" t="n">
        <x:v>55</x:v>
      </x:c>
      <x:c r="K40" s="4" t="n">
        <x:v>70</x:v>
      </x:c>
      <x:c r="L40" s="4" t="n">
        <x:v>85</x:v>
      </x:c>
      <x:c r="M40" s="4" t="n">
        <x:v>100</x:v>
      </x:c>
      <x:c r="N40" s="1"/>
    </x:row>
    <x:row r="41" ht="21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1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8" customHeight="1">
      <x:c r="A43" s="9" t="str">
        <x:v>1 institution</x:v>
      </x:c>
      <x:c r="B43" s="9" t="str">
        <x:v>M1</x:v>
      </x:c>
      <x:c r="C43" s="9" t="str">
        <x:v>M2</x:v>
      </x:c>
      <x:c r="D43" s="9" t="str">
        <x:v>M3</x:v>
      </x:c>
      <x:c r="E43" s="9" t="str">
        <x:v>M4</x:v>
      </x:c>
      <x:c r="F43" s="9" t="str">
        <x:v>M5</x:v>
      </x:c>
      <x:c r="G43" s="9" t="str">
        <x:v>M6</x:v>
      </x:c>
      <x:c r="H43" s="9" t="str">
        <x:v>M7</x:v>
      </x:c>
      <x:c r="I43" s="9" t="str">
        <x:v>M8</x:v>
      </x:c>
      <x:c r="J43" s="9" t="str">
        <x:v>M9</x:v>
      </x:c>
      <x:c r="K43" s="9" t="str">
        <x:v>M10</x:v>
      </x:c>
      <x:c r="L43" s="9" t="str">
        <x:v>M11</x:v>
      </x:c>
      <x:c r="M43" s="9" t="str">
        <x:v>M12</x:v>
      </x:c>
      <x:c r="N43" s="1"/>
    </x:row>
    <x:row r="44" ht="21" customHeight="1">
      <x:c r="A44" s="1" t="str">
        <x:v>Fixed infrastructure</x:v>
      </x:c>
      <x:c r="B44" s="10" t="n">
        <x:v>150</x:v>
      </x:c>
      <x:c r="C44" s="10" t="n">
        <x:v>150</x:v>
      </x:c>
      <x:c r="D44" s="10" t="n">
        <x:v>150</x:v>
      </x:c>
      <x:c r="E44" s="10" t="n">
        <x:v>150</x:v>
      </x:c>
      <x:c r="F44" s="10" t="n">
        <x:v>150</x:v>
      </x:c>
      <x:c r="G44" s="10" t="n">
        <x:v>150</x:v>
      </x:c>
      <x:c r="H44" s="10" t="n">
        <x:v>150</x:v>
      </x:c>
      <x:c r="I44" s="10" t="n">
        <x:v>150</x:v>
      </x:c>
      <x:c r="J44" s="10" t="n">
        <x:v>150</x:v>
      </x:c>
      <x:c r="K44" s="10" t="n">
        <x:v>150</x:v>
      </x:c>
      <x:c r="L44" s="10" t="n">
        <x:v>150</x:v>
      </x:c>
      <x:c r="M44" s="10" t="n">
        <x:v>150</x:v>
      </x:c>
      <x:c r="N44" s="1"/>
    </x:row>
    <x:row r="45" ht="21" customHeight="1">
      <x:c r="A45" s="1" t="str">
        <x:v>Software and monitoring</x:v>
      </x:c>
      <x:c r="B45" s="10" t="n">
        <x:v>75</x:v>
      </x:c>
      <x:c r="C45" s="10" t="n">
        <x:v>75</x:v>
      </x:c>
      <x:c r="D45" s="10" t="n">
        <x:v>75</x:v>
      </x:c>
      <x:c r="E45" s="10" t="n">
        <x:v>75</x:v>
      </x:c>
      <x:c r="F45" s="10" t="n">
        <x:v>75</x:v>
      </x:c>
      <x:c r="G45" s="10" t="n">
        <x:v>75</x:v>
      </x:c>
      <x:c r="H45" s="10" t="n">
        <x:v>75</x:v>
      </x:c>
      <x:c r="I45" s="10" t="n">
        <x:v>75</x:v>
      </x:c>
      <x:c r="J45" s="10" t="n">
        <x:v>75</x:v>
      </x:c>
      <x:c r="K45" s="10" t="n">
        <x:v>75</x:v>
      </x:c>
      <x:c r="L45" s="10" t="n">
        <x:v>75</x:v>
      </x:c>
      <x:c r="M45" s="10" t="n">
        <x:v>75</x:v>
      </x:c>
      <x:c r="N45" s="1"/>
    </x:row>
    <x:row r="46" ht="21" customHeight="1">
      <x:c r="A46" s="1" t="str">
        <x:v>Marketing and acquisition</x:v>
      </x:c>
      <x:c r="B46" s="10" t="n">
        <x:v>150</x:v>
      </x:c>
      <x:c r="C46" s="10" t="n">
        <x:v>150</x:v>
      </x:c>
      <x:c r="D46" s="10" t="n">
        <x:v>150</x:v>
      </x:c>
      <x:c r="E46" s="10" t="n">
        <x:v>150</x:v>
      </x:c>
      <x:c r="F46" s="10" t="n">
        <x:v>150</x:v>
      </x:c>
      <x:c r="G46" s="10" t="n">
        <x:v>150</x:v>
      </x:c>
      <x:c r="H46" s="10" t="n">
        <x:v>150</x:v>
      </x:c>
      <x:c r="I46" s="10" t="n">
        <x:v>150</x:v>
      </x:c>
      <x:c r="J46" s="10" t="n">
        <x:v>150</x:v>
      </x:c>
      <x:c r="K46" s="10" t="n">
        <x:v>150</x:v>
      </x:c>
      <x:c r="L46" s="10" t="n">
        <x:v>150</x:v>
      </x:c>
      <x:c r="M46" s="10" t="n">
        <x:v>150</x:v>
      </x:c>
      <x:c r="N46" s="1"/>
    </x:row>
    <x:row r="47" ht="21" customHeight="1">
      <x:c r="A47" s="1" t="str">
        <x:v>Contract development</x:v>
      </x:c>
      <x:c r="B47" s="10" t="n">
        <x:v>1500</x:v>
      </x:c>
      <x:c r="C47" s="10" t="n">
        <x:v>1500</x:v>
      </x:c>
      <x:c r="D47" s="10" t="n">
        <x:v>1000</x:v>
      </x:c>
      <x:c r="E47" s="10" t="n">
        <x:v>500</x:v>
      </x:c>
      <x:c r="F47" s="10" t="n">
        <x:v>500</x:v>
      </x:c>
      <x:c r="G47" s="10" t="n">
        <x:v>500</x:v>
      </x:c>
      <x:c r="H47" s="10" t="n">
        <x:v>500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"/>
    </x:row>
    <x:row r="48" ht="21" customHeight="1">
      <x:c r="A48" s="1" t="str">
        <x:v>Legal insurance accounting</x:v>
      </x:c>
      <x:c r="B48" s="10" t="n">
        <x:v>125</x:v>
      </x:c>
      <x:c r="C48" s="10" t="n">
        <x:v>125</x:v>
      </x:c>
      <x:c r="D48" s="10" t="n">
        <x:v>125</x:v>
      </x:c>
      <x:c r="E48" s="10" t="n">
        <x:v>125</x:v>
      </x:c>
      <x:c r="F48" s="10" t="n">
        <x:v>125</x:v>
      </x:c>
      <x:c r="G48" s="10" t="n">
        <x:v>125</x:v>
      </x:c>
      <x:c r="H48" s="10" t="n">
        <x:v>125</x:v>
      </x:c>
      <x:c r="I48" s="10" t="n">
        <x:v>125</x:v>
      </x:c>
      <x:c r="J48" s="10" t="n">
        <x:v>125</x:v>
      </x:c>
      <x:c r="K48" s="10" t="n">
        <x:v>125</x:v>
      </x:c>
      <x:c r="L48" s="10" t="n">
        <x:v>125</x:v>
      </x:c>
      <x:c r="M48" s="10" t="n">
        <x:v>125</x:v>
      </x:c>
      <x:c r="N48" s="1"/>
    </x:row>
    <x:row r="49" ht="21" customHeight="1">
      <x:c r="A49" s="1" t="str">
        <x:v>Founder labor if paid</x:v>
      </x:c>
      <x:c r="B49" s="10" t="n">
        <x:v>5000</x:v>
      </x:c>
      <x:c r="C49" s="10" t="n">
        <x:v>5000</x:v>
      </x:c>
      <x:c r="D49" s="10" t="n">
        <x:v>5000</x:v>
      </x:c>
      <x:c r="E49" s="10" t="n">
        <x:v>5000</x:v>
      </x:c>
      <x:c r="F49" s="10" t="n">
        <x:v>5000</x:v>
      </x:c>
      <x:c r="G49" s="10" t="n">
        <x:v>5000</x:v>
      </x:c>
      <x:c r="H49" s="10" t="n">
        <x:v>5000</x:v>
      </x:c>
      <x:c r="I49" s="10" t="n">
        <x:v>5000</x:v>
      </x:c>
      <x:c r="J49" s="10" t="n">
        <x:v>5000</x:v>
      </x:c>
      <x:c r="K49" s="10" t="n">
        <x:v>5000</x:v>
      </x:c>
      <x:c r="L49" s="10" t="n">
        <x:v>5000</x:v>
      </x:c>
      <x:c r="M49" s="10" t="n">
        <x:v>5000</x:v>
      </x:c>
      <x:c r="N49" s="1"/>
    </x:row>
    <x:row r="50" ht="21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1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8" customHeight="1">
      <x:c r="A52" s="9" t="str">
        <x:v>10 institutions</x:v>
      </x:c>
      <x:c r="B52" s="9" t="str">
        <x:v>M1</x:v>
      </x:c>
      <x:c r="C52" s="9" t="str">
        <x:v>M2</x:v>
      </x:c>
      <x:c r="D52" s="9" t="str">
        <x:v>M3</x:v>
      </x:c>
      <x:c r="E52" s="9" t="str">
        <x:v>M4</x:v>
      </x:c>
      <x:c r="F52" s="9" t="str">
        <x:v>M5</x:v>
      </x:c>
      <x:c r="G52" s="9" t="str">
        <x:v>M6</x:v>
      </x:c>
      <x:c r="H52" s="9" t="str">
        <x:v>M7</x:v>
      </x:c>
      <x:c r="I52" s="9" t="str">
        <x:v>M8</x:v>
      </x:c>
      <x:c r="J52" s="9" t="str">
        <x:v>M9</x:v>
      </x:c>
      <x:c r="K52" s="9" t="str">
        <x:v>M10</x:v>
      </x:c>
      <x:c r="L52" s="9" t="str">
        <x:v>M11</x:v>
      </x:c>
      <x:c r="M52" s="9" t="str">
        <x:v>M12</x:v>
      </x:c>
      <x:c r="N52" s="1"/>
    </x:row>
    <x:row r="53" ht="21" customHeight="1">
      <x:c r="A53" s="1" t="str">
        <x:v>Fixed infrastructure</x:v>
      </x:c>
      <x:c r="B53" s="10" t="n">
        <x:v>200</x:v>
      </x:c>
      <x:c r="C53" s="10" t="n">
        <x:v>200</x:v>
      </x:c>
      <x:c r="D53" s="10" t="n">
        <x:v>200</x:v>
      </x:c>
      <x:c r="E53" s="10" t="n">
        <x:v>200</x:v>
      </x:c>
      <x:c r="F53" s="10" t="n">
        <x:v>200</x:v>
      </x:c>
      <x:c r="G53" s="10" t="n">
        <x:v>200</x:v>
      </x:c>
      <x:c r="H53" s="10" t="n">
        <x:v>200</x:v>
      </x:c>
      <x:c r="I53" s="10" t="n">
        <x:v>200</x:v>
      </x:c>
      <x:c r="J53" s="10" t="n">
        <x:v>200</x:v>
      </x:c>
      <x:c r="K53" s="10" t="n">
        <x:v>200</x:v>
      </x:c>
      <x:c r="L53" s="10" t="n">
        <x:v>200</x:v>
      </x:c>
      <x:c r="M53" s="10" t="n">
        <x:v>200</x:v>
      </x:c>
      <x:c r="N53" s="1"/>
    </x:row>
    <x:row r="54" ht="21" customHeight="1">
      <x:c r="A54" s="1" t="str">
        <x:v>Software and monitoring</x:v>
      </x:c>
      <x:c r="B54" s="10" t="n">
        <x:v>150</x:v>
      </x:c>
      <x:c r="C54" s="10" t="n">
        <x:v>150</x:v>
      </x:c>
      <x:c r="D54" s="10" t="n">
        <x:v>150</x:v>
      </x:c>
      <x:c r="E54" s="10" t="n">
        <x:v>150</x:v>
      </x:c>
      <x:c r="F54" s="10" t="n">
        <x:v>150</x:v>
      </x:c>
      <x:c r="G54" s="10" t="n">
        <x:v>150</x:v>
      </x:c>
      <x:c r="H54" s="10" t="n">
        <x:v>150</x:v>
      </x:c>
      <x:c r="I54" s="10" t="n">
        <x:v>150</x:v>
      </x:c>
      <x:c r="J54" s="10" t="n">
        <x:v>150</x:v>
      </x:c>
      <x:c r="K54" s="10" t="n">
        <x:v>150</x:v>
      </x:c>
      <x:c r="L54" s="10" t="n">
        <x:v>150</x:v>
      </x:c>
      <x:c r="M54" s="10" t="n">
        <x:v>150</x:v>
      </x:c>
      <x:c r="N54" s="1"/>
    </x:row>
    <x:row r="55" ht="21" customHeight="1">
      <x:c r="A55" s="1" t="str">
        <x:v>Marketing and acquisition</x:v>
      </x:c>
      <x:c r="B55" s="10" t="n">
        <x:v>500</x:v>
      </x:c>
      <x:c r="C55" s="10" t="n">
        <x:v>500</x:v>
      </x:c>
      <x:c r="D55" s="10" t="n">
        <x:v>500</x:v>
      </x:c>
      <x:c r="E55" s="10" t="n">
        <x:v>500</x:v>
      </x:c>
      <x:c r="F55" s="10" t="n">
        <x:v>500</x:v>
      </x:c>
      <x:c r="G55" s="10" t="n">
        <x:v>500</x:v>
      </x:c>
      <x:c r="H55" s="10" t="n">
        <x:v>500</x:v>
      </x:c>
      <x:c r="I55" s="10" t="n">
        <x:v>500</x:v>
      </x:c>
      <x:c r="J55" s="10" t="n">
        <x:v>500</x:v>
      </x:c>
      <x:c r="K55" s="10" t="n">
        <x:v>500</x:v>
      </x:c>
      <x:c r="L55" s="10" t="n">
        <x:v>500</x:v>
      </x:c>
      <x:c r="M55" s="10" t="n">
        <x:v>500</x:v>
      </x:c>
      <x:c r="N55" s="1"/>
    </x:row>
    <x:row r="56" ht="21" customHeight="1">
      <x:c r="A56" s="1" t="str">
        <x:v>Contract development</x:v>
      </x:c>
      <x:c r="B56" s="10" t="n">
        <x:v>2000</x:v>
      </x:c>
      <x:c r="C56" s="10" t="n">
        <x:v>2000</x:v>
      </x:c>
      <x:c r="D56" s="10" t="n">
        <x:v>2000</x:v>
      </x:c>
      <x:c r="E56" s="10" t="n">
        <x:v>1000</x:v>
      </x:c>
      <x:c r="F56" s="10" t="n">
        <x:v>1000</x:v>
      </x:c>
      <x:c r="G56" s="10" t="n">
        <x:v>1000</x:v>
      </x:c>
      <x:c r="H56" s="10" t="n">
        <x:v>1000</x:v>
      </x:c>
      <x:c r="I56" s="10" t="n">
        <x:v>1000</x:v>
      </x:c>
      <x:c r="J56" s="10" t="n">
        <x:v>500</x:v>
      </x:c>
      <x:c r="K56" s="10" t="n">
        <x:v>500</x:v>
      </x:c>
      <x:c r="L56" s="10" t="n">
        <x:v>0</x:v>
      </x:c>
      <x:c r="M56" s="10" t="n">
        <x:v>0</x:v>
      </x:c>
      <x:c r="N56" s="1"/>
    </x:row>
    <x:row r="57" ht="21" customHeight="1">
      <x:c r="A57" s="1" t="str">
        <x:v>Legal insurance accounting</x:v>
      </x:c>
      <x:c r="B57" s="10" t="n">
        <x:v>250</x:v>
      </x:c>
      <x:c r="C57" s="10" t="n">
        <x:v>250</x:v>
      </x:c>
      <x:c r="D57" s="10" t="n">
        <x:v>250</x:v>
      </x:c>
      <x:c r="E57" s="10" t="n">
        <x:v>250</x:v>
      </x:c>
      <x:c r="F57" s="10" t="n">
        <x:v>250</x:v>
      </x:c>
      <x:c r="G57" s="10" t="n">
        <x:v>250</x:v>
      </x:c>
      <x:c r="H57" s="10" t="n">
        <x:v>250</x:v>
      </x:c>
      <x:c r="I57" s="10" t="n">
        <x:v>250</x:v>
      </x:c>
      <x:c r="J57" s="10" t="n">
        <x:v>250</x:v>
      </x:c>
      <x:c r="K57" s="10" t="n">
        <x:v>250</x:v>
      </x:c>
      <x:c r="L57" s="10" t="n">
        <x:v>250</x:v>
      </x:c>
      <x:c r="M57" s="10" t="n">
        <x:v>250</x:v>
      </x:c>
      <x:c r="N57" s="1"/>
    </x:row>
    <x:row r="58" ht="21" customHeight="1">
      <x:c r="A58" s="1" t="str">
        <x:v>Founder labor if paid</x:v>
      </x:c>
      <x:c r="B58" s="10" t="n">
        <x:v>5000</x:v>
      </x:c>
      <x:c r="C58" s="10" t="n">
        <x:v>5000</x:v>
      </x:c>
      <x:c r="D58" s="10" t="n">
        <x:v>5000</x:v>
      </x:c>
      <x:c r="E58" s="10" t="n">
        <x:v>5000</x:v>
      </x:c>
      <x:c r="F58" s="10" t="n">
        <x:v>5000</x:v>
      </x:c>
      <x:c r="G58" s="10" t="n">
        <x:v>5000</x:v>
      </x:c>
      <x:c r="H58" s="10" t="n">
        <x:v>5000</x:v>
      </x:c>
      <x:c r="I58" s="10" t="n">
        <x:v>5000</x:v>
      </x:c>
      <x:c r="J58" s="10" t="n">
        <x:v>5000</x:v>
      </x:c>
      <x:c r="K58" s="10" t="n">
        <x:v>5000</x:v>
      </x:c>
      <x:c r="L58" s="10" t="n">
        <x:v>5000</x:v>
      </x:c>
      <x:c r="M58" s="10" t="n">
        <x:v>5000</x:v>
      </x:c>
      <x:c r="N58" s="1"/>
    </x:row>
    <x:row r="59" ht="21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1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8" customHeight="1">
      <x:c r="A61" s="9" t="str">
        <x:v>100 institutions</x:v>
      </x:c>
      <x:c r="B61" s="9" t="str">
        <x:v>M1</x:v>
      </x:c>
      <x:c r="C61" s="9" t="str">
        <x:v>M2</x:v>
      </x:c>
      <x:c r="D61" s="9" t="str">
        <x:v>M3</x:v>
      </x:c>
      <x:c r="E61" s="9" t="str">
        <x:v>M4</x:v>
      </x:c>
      <x:c r="F61" s="9" t="str">
        <x:v>M5</x:v>
      </x:c>
      <x:c r="G61" s="9" t="str">
        <x:v>M6</x:v>
      </x:c>
      <x:c r="H61" s="9" t="str">
        <x:v>M7</x:v>
      </x:c>
      <x:c r="I61" s="9" t="str">
        <x:v>M8</x:v>
      </x:c>
      <x:c r="J61" s="9" t="str">
        <x:v>M9</x:v>
      </x:c>
      <x:c r="K61" s="9" t="str">
        <x:v>M10</x:v>
      </x:c>
      <x:c r="L61" s="9" t="str">
        <x:v>M11</x:v>
      </x:c>
      <x:c r="M61" s="9" t="str">
        <x:v>M12</x:v>
      </x:c>
      <x:c r="N61" s="1"/>
    </x:row>
    <x:row r="62" ht="21" customHeight="1">
      <x:c r="A62" s="1" t="str">
        <x:v>Fixed infrastructure</x:v>
      </x:c>
      <x:c r="B62" s="10" t="n">
        <x:v>200</x:v>
      </x:c>
      <x:c r="C62" s="10" t="n">
        <x:v>200</x:v>
      </x:c>
      <x:c r="D62" s="10" t="n">
        <x:v>250</x:v>
      </x:c>
      <x:c r="E62" s="10" t="n">
        <x:v>300</x:v>
      </x:c>
      <x:c r="F62" s="10" t="n">
        <x:v>350</x:v>
      </x:c>
      <x:c r="G62" s="10" t="n">
        <x:v>400</x:v>
      </x:c>
      <x:c r="H62" s="10" t="n">
        <x:v>500</x:v>
      </x:c>
      <x:c r="I62" s="10" t="n">
        <x:v>600</x:v>
      </x:c>
      <x:c r="J62" s="10" t="n">
        <x:v>700</x:v>
      </x:c>
      <x:c r="K62" s="10" t="n">
        <x:v>800</x:v>
      </x:c>
      <x:c r="L62" s="10" t="n">
        <x:v>850</x:v>
      </x:c>
      <x:c r="M62" s="10" t="n">
        <x:v>850</x:v>
      </x:c>
      <x:c r="N62" s="1"/>
    </x:row>
    <x:row r="63" ht="21" customHeight="1">
      <x:c r="A63" s="1" t="str">
        <x:v>Software and monitoring</x:v>
      </x:c>
      <x:c r="B63" s="10" t="n">
        <x:v>100</x:v>
      </x:c>
      <x:c r="C63" s="10" t="n">
        <x:v>100</x:v>
      </x:c>
      <x:c r="D63" s="10" t="n">
        <x:v>150</x:v>
      </x:c>
      <x:c r="E63" s="10" t="n">
        <x:v>200</x:v>
      </x:c>
      <x:c r="F63" s="10" t="n">
        <x:v>250</x:v>
      </x:c>
      <x:c r="G63" s="10" t="n">
        <x:v>300</x:v>
      </x:c>
      <x:c r="H63" s="10" t="n">
        <x:v>400</x:v>
      </x:c>
      <x:c r="I63" s="10" t="n">
        <x:v>450</x:v>
      </x:c>
      <x:c r="J63" s="10" t="n">
        <x:v>500</x:v>
      </x:c>
      <x:c r="K63" s="10" t="n">
        <x:v>550</x:v>
      </x:c>
      <x:c r="L63" s="10" t="n">
        <x:v>600</x:v>
      </x:c>
      <x:c r="M63" s="10" t="n">
        <x:v>600</x:v>
      </x:c>
      <x:c r="N63" s="1"/>
    </x:row>
    <x:row r="64" ht="21" customHeight="1">
      <x:c r="A64" s="1" t="str">
        <x:v>Marketing and acquisition</x:v>
      </x:c>
      <x:c r="B64" s="10" t="n">
        <x:v>500</x:v>
      </x:c>
      <x:c r="C64" s="10" t="n">
        <x:v>500</x:v>
      </x:c>
      <x:c r="D64" s="10" t="n">
        <x:v>1000</x:v>
      </x:c>
      <x:c r="E64" s="10" t="n">
        <x:v>1000</x:v>
      </x:c>
      <x:c r="F64" s="10" t="n">
        <x:v>1500</x:v>
      </x:c>
      <x:c r="G64" s="10" t="n">
        <x:v>1500</x:v>
      </x:c>
      <x:c r="H64" s="10" t="n">
        <x:v>2000</x:v>
      </x:c>
      <x:c r="I64" s="10" t="n">
        <x:v>2500</x:v>
      </x:c>
      <x:c r="J64" s="10" t="n">
        <x:v>3000</x:v>
      </x:c>
      <x:c r="K64" s="10" t="n">
        <x:v>3500</x:v>
      </x:c>
      <x:c r="L64" s="10" t="n">
        <x:v>3500</x:v>
      </x:c>
      <x:c r="M64" s="10" t="n">
        <x:v>3500</x:v>
      </x:c>
      <x:c r="N64" s="1"/>
    </x:row>
    <x:row r="65" ht="21" customHeight="1">
      <x:c r="A65" s="1" t="str">
        <x:v>Contract development</x:v>
      </x:c>
      <x:c r="B65" s="10" t="n">
        <x:v>8000</x:v>
      </x:c>
      <x:c r="C65" s="10" t="n">
        <x:v>8000</x:v>
      </x:c>
      <x:c r="D65" s="10" t="n">
        <x:v>6000</x:v>
      </x:c>
      <x:c r="E65" s="10" t="n">
        <x:v>4000</x:v>
      </x:c>
      <x:c r="F65" s="10" t="n">
        <x:v>4000</x:v>
      </x:c>
      <x:c r="G65" s="10" t="n">
        <x:v>2000</x:v>
      </x:c>
      <x:c r="H65" s="10" t="n">
        <x:v>1000</x:v>
      </x:c>
      <x:c r="I65" s="10" t="n">
        <x:v>1000</x:v>
      </x:c>
      <x:c r="J65" s="10" t="n">
        <x:v>1000</x:v>
      </x:c>
      <x:c r="K65" s="10" t="n">
        <x:v>1000</x:v>
      </x:c>
      <x:c r="L65" s="10" t="n">
        <x:v>0</x:v>
      </x:c>
      <x:c r="M65" s="10" t="n">
        <x:v>0</x:v>
      </x:c>
      <x:c r="N65" s="1"/>
    </x:row>
    <x:row r="66" ht="21" customHeight="1">
      <x:c r="A66" s="1" t="str">
        <x:v>Legal insurance accounting</x:v>
      </x:c>
      <x:c r="B66" s="10" t="n">
        <x:v>750</x:v>
      </x:c>
      <x:c r="C66" s="10" t="n">
        <x:v>750</x:v>
      </x:c>
      <x:c r="D66" s="10" t="n">
        <x:v>750</x:v>
      </x:c>
      <x:c r="E66" s="10" t="n">
        <x:v>750</x:v>
      </x:c>
      <x:c r="F66" s="10" t="n">
        <x:v>750</x:v>
      </x:c>
      <x:c r="G66" s="10" t="n">
        <x:v>750</x:v>
      </x:c>
      <x:c r="H66" s="10" t="n">
        <x:v>750</x:v>
      </x:c>
      <x:c r="I66" s="10" t="n">
        <x:v>750</x:v>
      </x:c>
      <x:c r="J66" s="10" t="n">
        <x:v>750</x:v>
      </x:c>
      <x:c r="K66" s="10" t="n">
        <x:v>750</x:v>
      </x:c>
      <x:c r="L66" s="10" t="n">
        <x:v>750</x:v>
      </x:c>
      <x:c r="M66" s="10" t="n">
        <x:v>750</x:v>
      </x:c>
      <x:c r="N66" s="1"/>
    </x:row>
    <x:row r="67" ht="21" customHeight="1">
      <x:c r="A67" s="1" t="str">
        <x:v>Founder labor if paid</x:v>
      </x:c>
      <x:c r="B67" s="10" t="n">
        <x:v>7000</x:v>
      </x:c>
      <x:c r="C67" s="10" t="n">
        <x:v>7000</x:v>
      </x:c>
      <x:c r="D67" s="10" t="n">
        <x:v>7000</x:v>
      </x:c>
      <x:c r="E67" s="10" t="n">
        <x:v>7000</x:v>
      </x:c>
      <x:c r="F67" s="10" t="n">
        <x:v>7000</x:v>
      </x:c>
      <x:c r="G67" s="10" t="n">
        <x:v>7000</x:v>
      </x:c>
      <x:c r="H67" s="10" t="n">
        <x:v>7000</x:v>
      </x:c>
      <x:c r="I67" s="10" t="n">
        <x:v>7000</x:v>
      </x:c>
      <x:c r="J67" s="10" t="n">
        <x:v>7000</x:v>
      </x:c>
      <x:c r="K67" s="10" t="n">
        <x:v>7000</x:v>
      </x:c>
      <x:c r="L67" s="10" t="n">
        <x:v>7000</x:v>
      </x:c>
      <x:c r="M67" s="10" t="n">
        <x:v>7000</x:v>
      </x:c>
      <x:c r="N67" s="1"/>
    </x:row>
    <x:row r="68" ht="21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5" hidden="0" customWidth="1"/>
  </x:cols>
  <x:sheetData>
    <x:row r="1" ht="21" customHeight="1">
      <x:c r="A1" s="2" t="str">
        <x:v>1 institution in year one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1" t="str">
        <x:v>USD. Conditional monthly targets. Video, top-ups and professor sales excluded.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9" t="str">
        <x:v>Projection month</x:v>
      </x:c>
      <x:c r="B5" s="18" t="n">
        <x:f>EDATE('Inputs'!$B$4,0)</x:f>
        <x:v>46327</x:v>
      </x:c>
      <x:c r="C5" s="18" t="n">
        <x:f>EDATE('Inputs'!$B$4,1)</x:f>
        <x:v>46357</x:v>
      </x:c>
      <x:c r="D5" s="18" t="n">
        <x:f>EDATE('Inputs'!$B$4,2)</x:f>
        <x:v>46388</x:v>
      </x:c>
      <x:c r="E5" s="18" t="n">
        <x:f>EDATE('Inputs'!$B$4,3)</x:f>
        <x:v>46419</x:v>
      </x:c>
      <x:c r="F5" s="18" t="n">
        <x:f>EDATE('Inputs'!$B$4,4)</x:f>
        <x:v>46447</x:v>
      </x:c>
      <x:c r="G5" s="18" t="n">
        <x:f>EDATE('Inputs'!$B$4,5)</x:f>
        <x:v>46478</x:v>
      </x:c>
      <x:c r="H5" s="18" t="n">
        <x:f>EDATE('Inputs'!$B$4,6)</x:f>
        <x:v>46508</x:v>
      </x:c>
      <x:c r="I5" s="18" t="n">
        <x:f>EDATE('Inputs'!$B$4,7)</x:f>
        <x:v>46539</x:v>
      </x:c>
      <x:c r="J5" s="18" t="n">
        <x:f>EDATE('Inputs'!$B$4,8)</x:f>
        <x:v>46569</x:v>
      </x:c>
      <x:c r="K5" s="18" t="n">
        <x:f>EDATE('Inputs'!$B$4,9)</x:f>
        <x:v>46600</x:v>
      </x:c>
      <x:c r="L5" s="18" t="n">
        <x:f>EDATE('Inputs'!$B$4,10)</x:f>
        <x:v>46631</x:v>
      </x:c>
      <x:c r="M5" s="18" t="n">
        <x:f>EDATE('Inputs'!$B$4,11)</x:f>
        <x:v>46661</x:v>
      </x:c>
      <x:c r="N5" s="9" t="str">
        <x:v>Year one</x:v>
      </x:c>
    </x:row>
    <x:row r="6" ht="21" customHeight="1">
      <x:c r="A6" s="1" t="str">
        <x:v>Active paying accounts</x:v>
      </x:c>
      <x:c r="B6" s="20" t="n">
        <x:f>'Inputs'!B38</x:f>
        <x:v>0</x:v>
      </x:c>
      <x:c r="C6" s="20" t="n">
        <x:f>'Inputs'!C38</x:f>
        <x:v>0</x:v>
      </x:c>
      <x:c r="D6" s="20" t="n">
        <x:f>'Inputs'!D38</x:f>
        <x:v>1</x:v>
      </x:c>
      <x:c r="E6" s="20" t="n">
        <x:f>'Inputs'!E38</x:f>
        <x:v>1</x:v>
      </x:c>
      <x:c r="F6" s="20" t="n">
        <x:f>'Inputs'!F38</x:f>
        <x:v>1</x:v>
      </x:c>
      <x:c r="G6" s="20" t="n">
        <x:f>'Inputs'!G38</x:f>
        <x:v>1</x:v>
      </x:c>
      <x:c r="H6" s="20" t="n">
        <x:f>'Inputs'!H38</x:f>
        <x:v>1</x:v>
      </x:c>
      <x:c r="I6" s="20" t="n">
        <x:f>'Inputs'!I38</x:f>
        <x:v>1</x:v>
      </x:c>
      <x:c r="J6" s="20" t="n">
        <x:f>'Inputs'!J38</x:f>
        <x:v>1</x:v>
      </x:c>
      <x:c r="K6" s="20" t="n">
        <x:f>'Inputs'!K38</x:f>
        <x:v>1</x:v>
      </x:c>
      <x:c r="L6" s="20" t="n">
        <x:f>'Inputs'!L38</x:f>
        <x:v>1</x:v>
      </x:c>
      <x:c r="M6" s="20" t="n">
        <x:f>'Inputs'!M38</x:f>
        <x:v>1</x:v>
      </x:c>
      <x:c r="N6" s="27" t="n">
        <x:f>M6</x:f>
        <x:v>1</x:v>
      </x:c>
    </x:row>
    <x:row r="7" ht="21" customHeight="1">
      <x:c r="A7" s="1" t="str">
        <x:v>Gross new accounts incl replacements</x:v>
      </x:c>
      <x:c r="B7" s="21" t="n">
        <x:f>B6</x:f>
        <x:v>0</x:v>
      </x:c>
      <x:c r="C7" s="21" t="n">
        <x:f>MAX(0,C6-B6+B6*'Inputs'!$B$29)</x:f>
        <x:v>0</x:v>
      </x:c>
      <x:c r="D7" s="21" t="n">
        <x:f>MAX(0,D6-C6+C6*'Inputs'!$B$29)</x:f>
        <x:v>1</x:v>
      </x:c>
      <x:c r="E7" s="21" t="n">
        <x:f>MAX(0,E6-D6+D6*'Inputs'!$B$29)</x:f>
        <x:v>0.015</x:v>
      </x:c>
      <x:c r="F7" s="21" t="n">
        <x:f>MAX(0,F6-E6+E6*'Inputs'!$B$29)</x:f>
        <x:v>0.015</x:v>
      </x:c>
      <x:c r="G7" s="21" t="n">
        <x:f>MAX(0,G6-F6+F6*'Inputs'!$B$29)</x:f>
        <x:v>0.015</x:v>
      </x:c>
      <x:c r="H7" s="21" t="n">
        <x:f>MAX(0,H6-G6+G6*'Inputs'!$B$29)</x:f>
        <x:v>0.015</x:v>
      </x:c>
      <x:c r="I7" s="21" t="n">
        <x:f>MAX(0,I6-H6+H6*'Inputs'!$B$29)</x:f>
        <x:v>0.015</x:v>
      </x:c>
      <x:c r="J7" s="21" t="n">
        <x:f>MAX(0,J6-I6+I6*'Inputs'!$B$29)</x:f>
        <x:v>0.015</x:v>
      </x:c>
      <x:c r="K7" s="21" t="n">
        <x:f>MAX(0,K6-J6+J6*'Inputs'!$B$29)</x:f>
        <x:v>0.015</x:v>
      </x:c>
      <x:c r="L7" s="21" t="n">
        <x:f>MAX(0,L6-K6+K6*'Inputs'!$B$29)</x:f>
        <x:v>0.015</x:v>
      </x:c>
      <x:c r="M7" s="21" t="n">
        <x:f>MAX(0,M6-L6+L6*'Inputs'!$B$29)</x:f>
        <x:v>0.015</x:v>
      </x:c>
      <x:c r="N7" s="28" t="n">
        <x:f>SUM(B7:M7)</x:f>
        <x:v>1.1349999999999991</x:v>
      </x:c>
    </x:row>
    <x:row r="8" ht="21" customHeight="1">
      <x:c r="A8" s="1" t="str">
        <x:v>Average subscription price</x:v>
      </x:c>
      <x:c r="B8" s="13" t="n">
        <x:f>'Inputs'!$B$19</x:f>
        <x:v>149</x:v>
      </x:c>
      <x:c r="C8" s="13" t="n">
        <x:f>'Inputs'!$B$19</x:f>
        <x:v>149</x:v>
      </x:c>
      <x:c r="D8" s="13" t="n">
        <x:f>'Inputs'!$B$19</x:f>
        <x:v>149</x:v>
      </x:c>
      <x:c r="E8" s="13" t="n">
        <x:f>'Inputs'!$B$19</x:f>
        <x:v>149</x:v>
      </x:c>
      <x:c r="F8" s="13" t="n">
        <x:f>'Inputs'!$B$19</x:f>
        <x:v>149</x:v>
      </x:c>
      <x:c r="G8" s="13" t="n">
        <x:f>'Inputs'!$B$19</x:f>
        <x:v>149</x:v>
      </x:c>
      <x:c r="H8" s="13" t="n">
        <x:f>'Inputs'!$B$19</x:f>
        <x:v>149</x:v>
      </x:c>
      <x:c r="I8" s="13" t="n">
        <x:f>'Inputs'!$B$19</x:f>
        <x:v>149</x:v>
      </x:c>
      <x:c r="J8" s="13" t="n">
        <x:f>'Inputs'!$B$19</x:f>
        <x:v>149</x:v>
      </x:c>
      <x:c r="K8" s="13" t="n">
        <x:f>'Inputs'!$B$19</x:f>
        <x:v>149</x:v>
      </x:c>
      <x:c r="L8" s="13" t="n">
        <x:f>'Inputs'!$B$19</x:f>
        <x:v>149</x:v>
      </x:c>
      <x:c r="M8" s="13" t="n">
        <x:f>'Inputs'!$B$19</x:f>
        <x:v>149</x:v>
      </x:c>
      <x:c r="N8" s="29" t="n">
        <x:f>M8</x:f>
        <x:v>149</x:v>
      </x:c>
    </x:row>
    <x:row r="9" ht="21" customHeight="1">
      <x:c r="A9" s="1" t="str">
        <x:v>Allowance per account</x:v>
      </x:c>
      <x:c r="B9" s="20" t="n">
        <x:f>'Inputs'!$B$20</x:f>
        <x:v>2000</x:v>
      </x:c>
      <x:c r="C9" s="20" t="n">
        <x:f>'Inputs'!$B$20</x:f>
        <x:v>2000</x:v>
      </x:c>
      <x:c r="D9" s="20" t="n">
        <x:f>'Inputs'!$B$20</x:f>
        <x:v>2000</x:v>
      </x:c>
      <x:c r="E9" s="20" t="n">
        <x:f>'Inputs'!$B$20</x:f>
        <x:v>2000</x:v>
      </x:c>
      <x:c r="F9" s="20" t="n">
        <x:f>'Inputs'!$B$20</x:f>
        <x:v>2000</x:v>
      </x:c>
      <x:c r="G9" s="20" t="n">
        <x:f>'Inputs'!$B$20</x:f>
        <x:v>2000</x:v>
      </x:c>
      <x:c r="H9" s="20" t="n">
        <x:f>'Inputs'!$B$20</x:f>
        <x:v>2000</x:v>
      </x:c>
      <x:c r="I9" s="20" t="n">
        <x:f>'Inputs'!$B$20</x:f>
        <x:v>2000</x:v>
      </x:c>
      <x:c r="J9" s="20" t="n">
        <x:f>'Inputs'!$B$20</x:f>
        <x:v>2000</x:v>
      </x:c>
      <x:c r="K9" s="20" t="n">
        <x:f>'Inputs'!$B$20</x:f>
        <x:v>2000</x:v>
      </x:c>
      <x:c r="L9" s="20" t="n">
        <x:f>'Inputs'!$B$20</x:f>
        <x:v>2000</x:v>
      </x:c>
      <x:c r="M9" s="20" t="n">
        <x:f>'Inputs'!$B$20</x:f>
        <x:v>2000</x:v>
      </x:c>
      <x:c r="N9" s="27" t="n">
        <x:f>M9</x:f>
        <x:v>2000</x:v>
      </x:c>
    </x:row>
    <x:row r="10" ht="21" customHeight="1">
      <x:c r="A10" s="1" t="str">
        <x:v>Images processed</x:v>
      </x:c>
      <x:c r="B10" s="20" t="n">
        <x:f>B6*B9*'Inputs'!$B$24</x:f>
        <x:v>0</x:v>
      </x:c>
      <x:c r="C10" s="20" t="n">
        <x:f>C6*C9*'Inputs'!$B$24</x:f>
        <x:v>0</x:v>
      </x:c>
      <x:c r="D10" s="20" t="n">
        <x:f>D6*D9*'Inputs'!$B$24</x:f>
        <x:v>1000</x:v>
      </x:c>
      <x:c r="E10" s="20" t="n">
        <x:f>E6*E9*'Inputs'!$B$24</x:f>
        <x:v>1000</x:v>
      </x:c>
      <x:c r="F10" s="20" t="n">
        <x:f>F6*F9*'Inputs'!$B$24</x:f>
        <x:v>1000</x:v>
      </x:c>
      <x:c r="G10" s="20" t="n">
        <x:f>G6*G9*'Inputs'!$B$24</x:f>
        <x:v>1000</x:v>
      </x:c>
      <x:c r="H10" s="20" t="n">
        <x:f>H6*H9*'Inputs'!$B$24</x:f>
        <x:v>1000</x:v>
      </x:c>
      <x:c r="I10" s="20" t="n">
        <x:f>I6*I9*'Inputs'!$B$24</x:f>
        <x:v>1000</x:v>
      </x:c>
      <x:c r="J10" s="20" t="n">
        <x:f>J6*J9*'Inputs'!$B$24</x:f>
        <x:v>1000</x:v>
      </x:c>
      <x:c r="K10" s="20" t="n">
        <x:f>K6*K9*'Inputs'!$B$24</x:f>
        <x:v>1000</x:v>
      </x:c>
      <x:c r="L10" s="20" t="n">
        <x:f>L6*L9*'Inputs'!$B$24</x:f>
        <x:v>1000</x:v>
      </x:c>
      <x:c r="M10" s="20" t="n">
        <x:f>M6*M9*'Inputs'!$B$24</x:f>
        <x:v>1000</x:v>
      </x:c>
      <x:c r="N10" s="27" t="n">
        <x:f>SUM(B10:M10)</x:f>
        <x:v>10000</x:v>
      </x:c>
    </x:row>
    <x:row r="11" ht="21" customHeight="1">
      <x:c r="A11" s="1" t="str">
        <x:v>Subscription revenue</x:v>
      </x:c>
      <x:c r="B11" s="19" t="n">
        <x:f>B6*B8</x:f>
        <x:v>0</x:v>
      </x:c>
      <x:c r="C11" s="19" t="n">
        <x:f>C6*C8</x:f>
        <x:v>0</x:v>
      </x:c>
      <x:c r="D11" s="19" t="n">
        <x:f>D6*D8</x:f>
        <x:v>149</x:v>
      </x:c>
      <x:c r="E11" s="19" t="n">
        <x:f>E6*E8</x:f>
        <x:v>149</x:v>
      </x:c>
      <x:c r="F11" s="19" t="n">
        <x:f>F6*F8</x:f>
        <x:v>149</x:v>
      </x:c>
      <x:c r="G11" s="19" t="n">
        <x:f>G6*G8</x:f>
        <x:v>149</x:v>
      </x:c>
      <x:c r="H11" s="19" t="n">
        <x:f>H6*H8</x:f>
        <x:v>149</x:v>
      </x:c>
      <x:c r="I11" s="19" t="n">
        <x:f>I6*I8</x:f>
        <x:v>149</x:v>
      </x:c>
      <x:c r="J11" s="19" t="n">
        <x:f>J6*J8</x:f>
        <x:v>149</x:v>
      </x:c>
      <x:c r="K11" s="19" t="n">
        <x:f>K6*K8</x:f>
        <x:v>149</x:v>
      </x:c>
      <x:c r="L11" s="19" t="n">
        <x:f>L6*L8</x:f>
        <x:v>149</x:v>
      </x:c>
      <x:c r="M11" s="19" t="n">
        <x:f>M6*M8</x:f>
        <x:v>149</x:v>
      </x:c>
      <x:c r="N11" s="30" t="n">
        <x:f>SUM(B11:M11)</x:f>
        <x:v>1490</x:v>
      </x:c>
    </x:row>
    <x:row r="12" ht="21" customHeight="1">
      <x:c r="A12" s="1" t="str">
        <x:v>Setup revenue</x:v>
      </x:c>
      <x:c r="B12" s="19" t="n">
        <x:f>B7*'Inputs'!$B$21</x:f>
        <x:v>0</x:v>
      </x:c>
      <x:c r="C12" s="19" t="n">
        <x:f>C7*'Inputs'!$B$21</x:f>
        <x:v>0</x:v>
      </x:c>
      <x:c r="D12" s="19" t="n">
        <x:f>D7*'Inputs'!$B$21</x:f>
        <x:v>0</x:v>
      </x:c>
      <x:c r="E12" s="19" t="n">
        <x:f>E7*'Inputs'!$B$21</x:f>
        <x:v>0</x:v>
      </x:c>
      <x:c r="F12" s="19" t="n">
        <x:f>F7*'Inputs'!$B$21</x:f>
        <x:v>0</x:v>
      </x:c>
      <x:c r="G12" s="19" t="n">
        <x:f>G7*'Inputs'!$B$21</x:f>
        <x:v>0</x:v>
      </x:c>
      <x:c r="H12" s="19" t="n">
        <x:f>H7*'Inputs'!$B$21</x:f>
        <x:v>0</x:v>
      </x:c>
      <x:c r="I12" s="19" t="n">
        <x:f>I7*'Inputs'!$B$21</x:f>
        <x:v>0</x:v>
      </x:c>
      <x:c r="J12" s="19" t="n">
        <x:f>J7*'Inputs'!$B$21</x:f>
        <x:v>0</x:v>
      </x:c>
      <x:c r="K12" s="19" t="n">
        <x:f>K7*'Inputs'!$B$21</x:f>
        <x:v>0</x:v>
      </x:c>
      <x:c r="L12" s="19" t="n">
        <x:f>L7*'Inputs'!$B$21</x:f>
        <x:v>0</x:v>
      </x:c>
      <x:c r="M12" s="19" t="n">
        <x:f>M7*'Inputs'!$B$21</x:f>
        <x:v>0</x:v>
      </x:c>
      <x:c r="N12" s="30" t="n">
        <x:f>SUM(B12:M12)</x:f>
        <x:v>0</x:v>
      </x:c>
    </x:row>
    <x:row r="13" ht="21" customHeight="1">
      <x:c r="A13" s="25" t="str">
        <x:v>Total billed revenue</x:v>
      </x:c>
      <x:c r="B13" s="26" t="n">
        <x:f>SUM(B11:B12)</x:f>
        <x:v>0</x:v>
      </x:c>
      <x:c r="C13" s="26" t="n">
        <x:f>SUM(C11:C12)</x:f>
        <x:v>0</x:v>
      </x:c>
      <x:c r="D13" s="26" t="n">
        <x:f>SUM(D11:D12)</x:f>
        <x:v>149</x:v>
      </x:c>
      <x:c r="E13" s="26" t="n">
        <x:f>SUM(E11:E12)</x:f>
        <x:v>149</x:v>
      </x:c>
      <x:c r="F13" s="26" t="n">
        <x:f>SUM(F11:F12)</x:f>
        <x:v>149</x:v>
      </x:c>
      <x:c r="G13" s="26" t="n">
        <x:f>SUM(G11:G12)</x:f>
        <x:v>149</x:v>
      </x:c>
      <x:c r="H13" s="26" t="n">
        <x:f>SUM(H11:H12)</x:f>
        <x:v>149</x:v>
      </x:c>
      <x:c r="I13" s="26" t="n">
        <x:f>SUM(I11:I12)</x:f>
        <x:v>149</x:v>
      </x:c>
      <x:c r="J13" s="26" t="n">
        <x:f>SUM(J11:J12)</x:f>
        <x:v>149</x:v>
      </x:c>
      <x:c r="K13" s="26" t="n">
        <x:f>SUM(K11:K12)</x:f>
        <x:v>149</x:v>
      </x:c>
      <x:c r="L13" s="26" t="n">
        <x:f>SUM(L11:L12)</x:f>
        <x:v>149</x:v>
      </x:c>
      <x:c r="M13" s="26" t="n">
        <x:f>SUM(M11:M12)</x:f>
        <x:v>149</x:v>
      </x:c>
      <x:c r="N13" s="31" t="n">
        <x:f>SUM(B13:M13)</x:f>
        <x:v>1490</x:v>
      </x:c>
    </x:row>
    <x:row r="14" ht="21" customHeight="1">
      <x:c r="A14" s="1" t="str">
        <x:v>Variable image delivery cost</x:v>
      </x:c>
      <x:c r="B14" s="19" t="n">
        <x:f>B10*'Inputs'!$B$25</x:f>
        <x:v>0</x:v>
      </x:c>
      <x:c r="C14" s="19" t="n">
        <x:f>C10*'Inputs'!$B$25</x:f>
        <x:v>0</x:v>
      </x:c>
      <x:c r="D14" s="19" t="n">
        <x:f>D10*'Inputs'!$B$25</x:f>
        <x:v>15</x:v>
      </x:c>
      <x:c r="E14" s="19" t="n">
        <x:f>E10*'Inputs'!$B$25</x:f>
        <x:v>15</x:v>
      </x:c>
      <x:c r="F14" s="19" t="n">
        <x:f>F10*'Inputs'!$B$25</x:f>
        <x:v>15</x:v>
      </x:c>
      <x:c r="G14" s="19" t="n">
        <x:f>G10*'Inputs'!$B$25</x:f>
        <x:v>15</x:v>
      </x:c>
      <x:c r="H14" s="19" t="n">
        <x:f>H10*'Inputs'!$B$25</x:f>
        <x:v>15</x:v>
      </x:c>
      <x:c r="I14" s="19" t="n">
        <x:f>I10*'Inputs'!$B$25</x:f>
        <x:v>15</x:v>
      </x:c>
      <x:c r="J14" s="19" t="n">
        <x:f>J10*'Inputs'!$B$25</x:f>
        <x:v>15</x:v>
      </x:c>
      <x:c r="K14" s="19" t="n">
        <x:f>K10*'Inputs'!$B$25</x:f>
        <x:v>15</x:v>
      </x:c>
      <x:c r="L14" s="19" t="n">
        <x:f>L10*'Inputs'!$B$25</x:f>
        <x:v>15</x:v>
      </x:c>
      <x:c r="M14" s="19" t="n">
        <x:f>M10*'Inputs'!$B$25</x:f>
        <x:v>15</x:v>
      </x:c>
      <x:c r="N14" s="30" t="n">
        <x:f>SUM(B14:M14)</x:f>
        <x:v>150</x:v>
      </x:c>
    </x:row>
    <x:row r="15" ht="21" customHeight="1">
      <x:c r="A15" s="1" t="str">
        <x:v>Payment fees</x:v>
      </x:c>
      <x:c r="B15" s="19" t="n">
        <x:f>B13*'Inputs'!$B$26+B6*'Inputs'!$B$27</x:f>
        <x:v>0</x:v>
      </x:c>
      <x:c r="C15" s="19" t="n">
        <x:f>C13*'Inputs'!$B$26+C6*'Inputs'!$B$27</x:f>
        <x:v>0</x:v>
      </x:c>
      <x:c r="D15" s="19" t="n">
        <x:f>D13*'Inputs'!$B$26+D6*'Inputs'!$B$27</x:f>
        <x:v>7.95</x:v>
      </x:c>
      <x:c r="E15" s="19" t="n">
        <x:f>E13*'Inputs'!$B$26+E6*'Inputs'!$B$27</x:f>
        <x:v>7.95</x:v>
      </x:c>
      <x:c r="F15" s="19" t="n">
        <x:f>F13*'Inputs'!$B$26+F6*'Inputs'!$B$27</x:f>
        <x:v>7.95</x:v>
      </x:c>
      <x:c r="G15" s="19" t="n">
        <x:f>G13*'Inputs'!$B$26+G6*'Inputs'!$B$27</x:f>
        <x:v>7.95</x:v>
      </x:c>
      <x:c r="H15" s="19" t="n">
        <x:f>H13*'Inputs'!$B$26+H6*'Inputs'!$B$27</x:f>
        <x:v>7.95</x:v>
      </x:c>
      <x:c r="I15" s="19" t="n">
        <x:f>I13*'Inputs'!$B$26+I6*'Inputs'!$B$27</x:f>
        <x:v>7.95</x:v>
      </x:c>
      <x:c r="J15" s="19" t="n">
        <x:f>J13*'Inputs'!$B$26+J6*'Inputs'!$B$27</x:f>
        <x:v>7.95</x:v>
      </x:c>
      <x:c r="K15" s="19" t="n">
        <x:f>K13*'Inputs'!$B$26+K6*'Inputs'!$B$27</x:f>
        <x:v>7.95</x:v>
      </x:c>
      <x:c r="L15" s="19" t="n">
        <x:f>L13*'Inputs'!$B$26+L6*'Inputs'!$B$27</x:f>
        <x:v>7.95</x:v>
      </x:c>
      <x:c r="M15" s="19" t="n">
        <x:f>M13*'Inputs'!$B$26+M6*'Inputs'!$B$27</x:f>
        <x:v>7.95</x:v>
      </x:c>
      <x:c r="N15" s="30" t="n">
        <x:f>SUM(B15:M15)</x:f>
        <x:v>79.50000000000001</x:v>
      </x:c>
    </x:row>
    <x:row r="16" ht="21" customHeight="1">
      <x:c r="A16" s="1" t="str">
        <x:v>Refund and collection reserve</x:v>
      </x:c>
      <x:c r="B16" s="19" t="n">
        <x:f>B13*'Inputs'!$B$28</x:f>
        <x:v>0</x:v>
      </x:c>
      <x:c r="C16" s="19" t="n">
        <x:f>C13*'Inputs'!$B$28</x:f>
        <x:v>0</x:v>
      </x:c>
      <x:c r="D16" s="19" t="n">
        <x:f>D13*'Inputs'!$B$28</x:f>
        <x:v>2.98</x:v>
      </x:c>
      <x:c r="E16" s="19" t="n">
        <x:f>E13*'Inputs'!$B$28</x:f>
        <x:v>2.98</x:v>
      </x:c>
      <x:c r="F16" s="19" t="n">
        <x:f>F13*'Inputs'!$B$28</x:f>
        <x:v>2.98</x:v>
      </x:c>
      <x:c r="G16" s="19" t="n">
        <x:f>G13*'Inputs'!$B$28</x:f>
        <x:v>2.98</x:v>
      </x:c>
      <x:c r="H16" s="19" t="n">
        <x:f>H13*'Inputs'!$B$28</x:f>
        <x:v>2.98</x:v>
      </x:c>
      <x:c r="I16" s="19" t="n">
        <x:f>I13*'Inputs'!$B$28</x:f>
        <x:v>2.98</x:v>
      </x:c>
      <x:c r="J16" s="19" t="n">
        <x:f>J13*'Inputs'!$B$28</x:f>
        <x:v>2.98</x:v>
      </x:c>
      <x:c r="K16" s="19" t="n">
        <x:f>K13*'Inputs'!$B$28</x:f>
        <x:v>2.98</x:v>
      </x:c>
      <x:c r="L16" s="19" t="n">
        <x:f>L13*'Inputs'!$B$28</x:f>
        <x:v>2.98</x:v>
      </x:c>
      <x:c r="M16" s="19" t="n">
        <x:f>M13*'Inputs'!$B$28</x:f>
        <x:v>2.98</x:v>
      </x:c>
      <x:c r="N16" s="30" t="n">
        <x:f>SUM(B16:M16)</x:f>
        <x:v>29.8</x:v>
      </x:c>
    </x:row>
    <x:row r="17" ht="21" customHeight="1">
      <x:c r="A17" s="1" t="str">
        <x:v>Paid customer support</x:v>
      </x:c>
      <x:c r="B17" s="19" t="n">
        <x:f>B6*'Inputs'!$B$30*'Inputs'!$B$32</x:f>
        <x:v>0</x:v>
      </x:c>
      <x:c r="C17" s="19" t="n">
        <x:f>C6*'Inputs'!$B$30*'Inputs'!$B$32</x:f>
        <x:v>0</x:v>
      </x:c>
      <x:c r="D17" s="19" t="n">
        <x:f>D6*'Inputs'!$B$30*'Inputs'!$B$32</x:f>
        <x:v>22.5</x:v>
      </x:c>
      <x:c r="E17" s="19" t="n">
        <x:f>E6*'Inputs'!$B$30*'Inputs'!$B$32</x:f>
        <x:v>22.5</x:v>
      </x:c>
      <x:c r="F17" s="19" t="n">
        <x:f>F6*'Inputs'!$B$30*'Inputs'!$B$32</x:f>
        <x:v>22.5</x:v>
      </x:c>
      <x:c r="G17" s="19" t="n">
        <x:f>G6*'Inputs'!$B$30*'Inputs'!$B$32</x:f>
        <x:v>22.5</x:v>
      </x:c>
      <x:c r="H17" s="19" t="n">
        <x:f>H6*'Inputs'!$B$30*'Inputs'!$B$32</x:f>
        <x:v>22.5</x:v>
      </x:c>
      <x:c r="I17" s="19" t="n">
        <x:f>I6*'Inputs'!$B$30*'Inputs'!$B$32</x:f>
        <x:v>22.5</x:v>
      </x:c>
      <x:c r="J17" s="19" t="n">
        <x:f>J6*'Inputs'!$B$30*'Inputs'!$B$32</x:f>
        <x:v>22.5</x:v>
      </x:c>
      <x:c r="K17" s="19" t="n">
        <x:f>K6*'Inputs'!$B$30*'Inputs'!$B$32</x:f>
        <x:v>22.5</x:v>
      </x:c>
      <x:c r="L17" s="19" t="n">
        <x:f>L6*'Inputs'!$B$30*'Inputs'!$B$32</x:f>
        <x:v>22.5</x:v>
      </x:c>
      <x:c r="M17" s="19" t="n">
        <x:f>M6*'Inputs'!$B$30*'Inputs'!$B$32</x:f>
        <x:v>22.5</x:v>
      </x:c>
      <x:c r="N17" s="30" t="n">
        <x:f>SUM(B17:M17)</x:f>
        <x:v>225</x:v>
      </x:c>
    </x:row>
    <x:row r="18" ht="21" customHeight="1">
      <x:c r="A18" s="1" t="str">
        <x:v>Paid onboarding</x:v>
      </x:c>
      <x:c r="B18" s="19" t="n">
        <x:f>B7*'Inputs'!$B$31*'Inputs'!$B$32</x:f>
        <x:v>0</x:v>
      </x:c>
      <x:c r="C18" s="19" t="n">
        <x:f>C7*'Inputs'!$B$31*'Inputs'!$B$32</x:f>
        <x:v>0</x:v>
      </x:c>
      <x:c r="D18" s="19" t="n">
        <x:f>D7*'Inputs'!$B$31*'Inputs'!$B$32</x:f>
        <x:v>90</x:v>
      </x:c>
      <x:c r="E18" s="19" t="n">
        <x:f>E7*'Inputs'!$B$31*'Inputs'!$B$32</x:f>
        <x:v>1.3499999999999999</x:v>
      </x:c>
      <x:c r="F18" s="19" t="n">
        <x:f>F7*'Inputs'!$B$31*'Inputs'!$B$32</x:f>
        <x:v>1.3499999999999999</x:v>
      </x:c>
      <x:c r="G18" s="19" t="n">
        <x:f>G7*'Inputs'!$B$31*'Inputs'!$B$32</x:f>
        <x:v>1.3499999999999999</x:v>
      </x:c>
      <x:c r="H18" s="19" t="n">
        <x:f>H7*'Inputs'!$B$31*'Inputs'!$B$32</x:f>
        <x:v>1.3499999999999999</x:v>
      </x:c>
      <x:c r="I18" s="19" t="n">
        <x:f>I7*'Inputs'!$B$31*'Inputs'!$B$32</x:f>
        <x:v>1.3499999999999999</x:v>
      </x:c>
      <x:c r="J18" s="19" t="n">
        <x:f>J7*'Inputs'!$B$31*'Inputs'!$B$32</x:f>
        <x:v>1.3499999999999999</x:v>
      </x:c>
      <x:c r="K18" s="19" t="n">
        <x:f>K7*'Inputs'!$B$31*'Inputs'!$B$32</x:f>
        <x:v>1.3499999999999999</x:v>
      </x:c>
      <x:c r="L18" s="19" t="n">
        <x:f>L7*'Inputs'!$B$31*'Inputs'!$B$32</x:f>
        <x:v>1.3499999999999999</x:v>
      </x:c>
      <x:c r="M18" s="19" t="n">
        <x:f>M7*'Inputs'!$B$31*'Inputs'!$B$32</x:f>
        <x:v>1.3499999999999999</x:v>
      </x:c>
      <x:c r="N18" s="30" t="n">
        <x:f>SUM(B18:M18)</x:f>
        <x:v>102.14999999999995</x:v>
      </x:c>
    </x:row>
    <x:row r="19" ht="21" customHeight="1">
      <x:c r="A19" s="1" t="str">
        <x:v>Fixed infrastructure</x:v>
      </x:c>
      <x:c r="B19" s="19" t="n">
        <x:f>'Inputs'!B44</x:f>
        <x:v>150</x:v>
      </x:c>
      <x:c r="C19" s="19" t="n">
        <x:f>'Inputs'!C44</x:f>
        <x:v>150</x:v>
      </x:c>
      <x:c r="D19" s="19" t="n">
        <x:f>'Inputs'!D44</x:f>
        <x:v>150</x:v>
      </x:c>
      <x:c r="E19" s="19" t="n">
        <x:f>'Inputs'!E44</x:f>
        <x:v>150</x:v>
      </x:c>
      <x:c r="F19" s="19" t="n">
        <x:f>'Inputs'!F44</x:f>
        <x:v>150</x:v>
      </x:c>
      <x:c r="G19" s="19" t="n">
        <x:f>'Inputs'!G44</x:f>
        <x:v>150</x:v>
      </x:c>
      <x:c r="H19" s="19" t="n">
        <x:f>'Inputs'!H44</x:f>
        <x:v>150</x:v>
      </x:c>
      <x:c r="I19" s="19" t="n">
        <x:f>'Inputs'!I44</x:f>
        <x:v>150</x:v>
      </x:c>
      <x:c r="J19" s="19" t="n">
        <x:f>'Inputs'!J44</x:f>
        <x:v>150</x:v>
      </x:c>
      <x:c r="K19" s="19" t="n">
        <x:f>'Inputs'!K44</x:f>
        <x:v>150</x:v>
      </x:c>
      <x:c r="L19" s="19" t="n">
        <x:f>'Inputs'!L44</x:f>
        <x:v>150</x:v>
      </x:c>
      <x:c r="M19" s="19" t="n">
        <x:f>'Inputs'!M44</x:f>
        <x:v>150</x:v>
      </x:c>
      <x:c r="N19" s="30" t="n">
        <x:f>SUM(B19:M19)</x:f>
        <x:v>1800</x:v>
      </x:c>
    </x:row>
    <x:row r="20" ht="21" customHeight="1">
      <x:c r="A20" s="1" t="str">
        <x:v>Software and monitoring</x:v>
      </x:c>
      <x:c r="B20" s="19" t="n">
        <x:f>'Inputs'!B45</x:f>
        <x:v>75</x:v>
      </x:c>
      <x:c r="C20" s="19" t="n">
        <x:f>'Inputs'!C45</x:f>
        <x:v>75</x:v>
      </x:c>
      <x:c r="D20" s="19" t="n">
        <x:f>'Inputs'!D45</x:f>
        <x:v>75</x:v>
      </x:c>
      <x:c r="E20" s="19" t="n">
        <x:f>'Inputs'!E45</x:f>
        <x:v>75</x:v>
      </x:c>
      <x:c r="F20" s="19" t="n">
        <x:f>'Inputs'!F45</x:f>
        <x:v>75</x:v>
      </x:c>
      <x:c r="G20" s="19" t="n">
        <x:f>'Inputs'!G45</x:f>
        <x:v>75</x:v>
      </x:c>
      <x:c r="H20" s="19" t="n">
        <x:f>'Inputs'!H45</x:f>
        <x:v>75</x:v>
      </x:c>
      <x:c r="I20" s="19" t="n">
        <x:f>'Inputs'!I45</x:f>
        <x:v>75</x:v>
      </x:c>
      <x:c r="J20" s="19" t="n">
        <x:f>'Inputs'!J45</x:f>
        <x:v>75</x:v>
      </x:c>
      <x:c r="K20" s="19" t="n">
        <x:f>'Inputs'!K45</x:f>
        <x:v>75</x:v>
      </x:c>
      <x:c r="L20" s="19" t="n">
        <x:f>'Inputs'!L45</x:f>
        <x:v>75</x:v>
      </x:c>
      <x:c r="M20" s="19" t="n">
        <x:f>'Inputs'!M45</x:f>
        <x:v>75</x:v>
      </x:c>
      <x:c r="N20" s="30" t="n">
        <x:f>SUM(B20:M20)</x:f>
        <x:v>900</x:v>
      </x:c>
    </x:row>
    <x:row r="21" ht="21" customHeight="1">
      <x:c r="A21" s="1" t="str">
        <x:v>Marketing and acquisition</x:v>
      </x:c>
      <x:c r="B21" s="19" t="n">
        <x:f>'Inputs'!B46</x:f>
        <x:v>150</x:v>
      </x:c>
      <x:c r="C21" s="19" t="n">
        <x:f>'Inputs'!C46</x:f>
        <x:v>150</x:v>
      </x:c>
      <x:c r="D21" s="19" t="n">
        <x:f>'Inputs'!D46</x:f>
        <x:v>150</x:v>
      </x:c>
      <x:c r="E21" s="19" t="n">
        <x:f>'Inputs'!E46</x:f>
        <x:v>150</x:v>
      </x:c>
      <x:c r="F21" s="19" t="n">
        <x:f>'Inputs'!F46</x:f>
        <x:v>150</x:v>
      </x:c>
      <x:c r="G21" s="19" t="n">
        <x:f>'Inputs'!G46</x:f>
        <x:v>150</x:v>
      </x:c>
      <x:c r="H21" s="19" t="n">
        <x:f>'Inputs'!H46</x:f>
        <x:v>150</x:v>
      </x:c>
      <x:c r="I21" s="19" t="n">
        <x:f>'Inputs'!I46</x:f>
        <x:v>150</x:v>
      </x:c>
      <x:c r="J21" s="19" t="n">
        <x:f>'Inputs'!J46</x:f>
        <x:v>150</x:v>
      </x:c>
      <x:c r="K21" s="19" t="n">
        <x:f>'Inputs'!K46</x:f>
        <x:v>150</x:v>
      </x:c>
      <x:c r="L21" s="19" t="n">
        <x:f>'Inputs'!L46</x:f>
        <x:v>150</x:v>
      </x:c>
      <x:c r="M21" s="19" t="n">
        <x:f>'Inputs'!M46</x:f>
        <x:v>150</x:v>
      </x:c>
      <x:c r="N21" s="30" t="n">
        <x:f>SUM(B21:M21)</x:f>
        <x:v>1800</x:v>
      </x:c>
    </x:row>
    <x:row r="22" ht="21" customHeight="1">
      <x:c r="A22" s="1" t="str">
        <x:v>Contract development</x:v>
      </x:c>
      <x:c r="B22" s="19" t="n">
        <x:f>'Inputs'!B47</x:f>
        <x:v>1500</x:v>
      </x:c>
      <x:c r="C22" s="19" t="n">
        <x:f>'Inputs'!C47</x:f>
        <x:v>1500</x:v>
      </x:c>
      <x:c r="D22" s="19" t="n">
        <x:f>'Inputs'!D47</x:f>
        <x:v>1000</x:v>
      </x:c>
      <x:c r="E22" s="19" t="n">
        <x:f>'Inputs'!E47</x:f>
        <x:v>500</x:v>
      </x:c>
      <x:c r="F22" s="19" t="n">
        <x:f>'Inputs'!F47</x:f>
        <x:v>500</x:v>
      </x:c>
      <x:c r="G22" s="19" t="n">
        <x:f>'Inputs'!G47</x:f>
        <x:v>500</x:v>
      </x:c>
      <x:c r="H22" s="19" t="n">
        <x:f>'Inputs'!H47</x:f>
        <x:v>500</x:v>
      </x:c>
      <x:c r="I22" s="19" t="n">
        <x:f>'Inputs'!I47</x:f>
        <x:v>0</x:v>
      </x:c>
      <x:c r="J22" s="19" t="n">
        <x:f>'Inputs'!J47</x:f>
        <x:v>0</x:v>
      </x:c>
      <x:c r="K22" s="19" t="n">
        <x:f>'Inputs'!K47</x:f>
        <x:v>0</x:v>
      </x:c>
      <x:c r="L22" s="19" t="n">
        <x:f>'Inputs'!L47</x:f>
        <x:v>0</x:v>
      </x:c>
      <x:c r="M22" s="19" t="n">
        <x:f>'Inputs'!M47</x:f>
        <x:v>0</x:v>
      </x:c>
      <x:c r="N22" s="30" t="n">
        <x:f>SUM(B22:M22)</x:f>
        <x:v>6000</x:v>
      </x:c>
    </x:row>
    <x:row r="23" ht="21" customHeight="1">
      <x:c r="A23" s="1" t="str">
        <x:v>Legal insurance accounting</x:v>
      </x:c>
      <x:c r="B23" s="19" t="n">
        <x:f>'Inputs'!B48</x:f>
        <x:v>125</x:v>
      </x:c>
      <x:c r="C23" s="19" t="n">
        <x:f>'Inputs'!C48</x:f>
        <x:v>125</x:v>
      </x:c>
      <x:c r="D23" s="19" t="n">
        <x:f>'Inputs'!D48</x:f>
        <x:v>125</x:v>
      </x:c>
      <x:c r="E23" s="19" t="n">
        <x:f>'Inputs'!E48</x:f>
        <x:v>125</x:v>
      </x:c>
      <x:c r="F23" s="19" t="n">
        <x:f>'Inputs'!F48</x:f>
        <x:v>125</x:v>
      </x:c>
      <x:c r="G23" s="19" t="n">
        <x:f>'Inputs'!G48</x:f>
        <x:v>125</x:v>
      </x:c>
      <x:c r="H23" s="19" t="n">
        <x:f>'Inputs'!H48</x:f>
        <x:v>125</x:v>
      </x:c>
      <x:c r="I23" s="19" t="n">
        <x:f>'Inputs'!I48</x:f>
        <x:v>125</x:v>
      </x:c>
      <x:c r="J23" s="19" t="n">
        <x:f>'Inputs'!J48</x:f>
        <x:v>125</x:v>
      </x:c>
      <x:c r="K23" s="19" t="n">
        <x:f>'Inputs'!K48</x:f>
        <x:v>125</x:v>
      </x:c>
      <x:c r="L23" s="19" t="n">
        <x:f>'Inputs'!L48</x:f>
        <x:v>125</x:v>
      </x:c>
      <x:c r="M23" s="19" t="n">
        <x:f>'Inputs'!M48</x:f>
        <x:v>125</x:v>
      </x:c>
      <x:c r="N23" s="30" t="n">
        <x:f>SUM(B23:M23)</x:f>
        <x:v>1500</x:v>
      </x:c>
    </x:row>
    <x:row r="24" ht="21" customHeight="1">
      <x:c r="A24" s="25" t="str">
        <x:v>Total cash cost excluding founder</x:v>
      </x:c>
      <x:c r="B24" s="26" t="n">
        <x:f>SUM(B14:B23)</x:f>
        <x:v>2000</x:v>
      </x:c>
      <x:c r="C24" s="26" t="n">
        <x:f>SUM(C14:C23)</x:f>
        <x:v>2000</x:v>
      </x:c>
      <x:c r="D24" s="26" t="n">
        <x:f>SUM(D14:D23)</x:f>
        <x:v>1638.43</x:v>
      </x:c>
      <x:c r="E24" s="26" t="n">
        <x:f>SUM(E14:E23)</x:f>
        <x:v>1049.78</x:v>
      </x:c>
      <x:c r="F24" s="26" t="n">
        <x:f>SUM(F14:F23)</x:f>
        <x:v>1049.78</x:v>
      </x:c>
      <x:c r="G24" s="26" t="n">
        <x:f>SUM(G14:G23)</x:f>
        <x:v>1049.78</x:v>
      </x:c>
      <x:c r="H24" s="26" t="n">
        <x:f>SUM(H14:H23)</x:f>
        <x:v>1049.78</x:v>
      </x:c>
      <x:c r="I24" s="26" t="n">
        <x:f>SUM(I14:I23)</x:f>
        <x:v>549.78</x:v>
      </x:c>
      <x:c r="J24" s="26" t="n">
        <x:f>SUM(J14:J23)</x:f>
        <x:v>549.78</x:v>
      </x:c>
      <x:c r="K24" s="26" t="n">
        <x:f>SUM(K14:K23)</x:f>
        <x:v>549.78</x:v>
      </x:c>
      <x:c r="L24" s="26" t="n">
        <x:f>SUM(L14:L23)</x:f>
        <x:v>549.78</x:v>
      </x:c>
      <x:c r="M24" s="26" t="n">
        <x:f>SUM(M14:M23)</x:f>
        <x:v>549.78</x:v>
      </x:c>
      <x:c r="N24" s="31" t="n">
        <x:f>SUM(B24:M24)</x:f>
        <x:v>12586.450000000004</x:v>
      </x:c>
    </x:row>
    <x:row r="25" ht="21" customHeight="1">
      <x:c r="A25" s="25" t="str">
        <x:v>Operating result before founder</x:v>
      </x:c>
      <x:c r="B25" s="26" t="n">
        <x:f>B13-B24</x:f>
        <x:v>-2000</x:v>
      </x:c>
      <x:c r="C25" s="26" t="n">
        <x:f>C13-C24</x:f>
        <x:v>-2000</x:v>
      </x:c>
      <x:c r="D25" s="26" t="n">
        <x:f>D13-D24</x:f>
        <x:v>-1489.43</x:v>
      </x:c>
      <x:c r="E25" s="26" t="n">
        <x:f>E13-E24</x:f>
        <x:v>-900.78</x:v>
      </x:c>
      <x:c r="F25" s="26" t="n">
        <x:f>F13-F24</x:f>
        <x:v>-900.78</x:v>
      </x:c>
      <x:c r="G25" s="26" t="n">
        <x:f>G13-G24</x:f>
        <x:v>-900.78</x:v>
      </x:c>
      <x:c r="H25" s="26" t="n">
        <x:f>H13-H24</x:f>
        <x:v>-900.78</x:v>
      </x:c>
      <x:c r="I25" s="26" t="n">
        <x:f>I13-I24</x:f>
        <x:v>-400.78</x:v>
      </x:c>
      <x:c r="J25" s="26" t="n">
        <x:f>J13-J24</x:f>
        <x:v>-400.78</x:v>
      </x:c>
      <x:c r="K25" s="26" t="n">
        <x:f>K13-K24</x:f>
        <x:v>-400.78</x:v>
      </x:c>
      <x:c r="L25" s="26" t="n">
        <x:f>L13-L24</x:f>
        <x:v>-400.78</x:v>
      </x:c>
      <x:c r="M25" s="26" t="n">
        <x:f>M13-M24</x:f>
        <x:v>-400.78</x:v>
      </x:c>
      <x:c r="N25" s="31" t="n">
        <x:f>SUM(B25:M25)</x:f>
        <x:v>-11096.450000000003</x:v>
      </x:c>
    </x:row>
    <x:row r="26" ht="21" customHeight="1">
      <x:c r="A26" s="1" t="str">
        <x:v>Founder labor if paid</x:v>
      </x:c>
      <x:c r="B26" s="19" t="n">
        <x:f>'Inputs'!B49</x:f>
        <x:v>5000</x:v>
      </x:c>
      <x:c r="C26" s="19" t="n">
        <x:f>'Inputs'!C49</x:f>
        <x:v>5000</x:v>
      </x:c>
      <x:c r="D26" s="19" t="n">
        <x:f>'Inputs'!D49</x:f>
        <x:v>5000</x:v>
      </x:c>
      <x:c r="E26" s="19" t="n">
        <x:f>'Inputs'!E49</x:f>
        <x:v>5000</x:v>
      </x:c>
      <x:c r="F26" s="19" t="n">
        <x:f>'Inputs'!F49</x:f>
        <x:v>5000</x:v>
      </x:c>
      <x:c r="G26" s="19" t="n">
        <x:f>'Inputs'!G49</x:f>
        <x:v>5000</x:v>
      </x:c>
      <x:c r="H26" s="19" t="n">
        <x:f>'Inputs'!H49</x:f>
        <x:v>5000</x:v>
      </x:c>
      <x:c r="I26" s="19" t="n">
        <x:f>'Inputs'!I49</x:f>
        <x:v>5000</x:v>
      </x:c>
      <x:c r="J26" s="19" t="n">
        <x:f>'Inputs'!J49</x:f>
        <x:v>5000</x:v>
      </x:c>
      <x:c r="K26" s="19" t="n">
        <x:f>'Inputs'!K49</x:f>
        <x:v>5000</x:v>
      </x:c>
      <x:c r="L26" s="19" t="n">
        <x:f>'Inputs'!L49</x:f>
        <x:v>5000</x:v>
      </x:c>
      <x:c r="M26" s="19" t="n">
        <x:f>'Inputs'!M49</x:f>
        <x:v>5000</x:v>
      </x:c>
      <x:c r="N26" s="30" t="n">
        <x:f>SUM(B26:M26)</x:f>
        <x:v>60000</x:v>
      </x:c>
    </x:row>
    <x:row r="27" ht="21" customHeight="1">
      <x:c r="A27" s="25" t="str">
        <x:v>Result including founder labor</x:v>
      </x:c>
      <x:c r="B27" s="26" t="n">
        <x:f>B25-B26</x:f>
        <x:v>-7000</x:v>
      </x:c>
      <x:c r="C27" s="26" t="n">
        <x:f>C25-C26</x:f>
        <x:v>-7000</x:v>
      </x:c>
      <x:c r="D27" s="26" t="n">
        <x:f>D25-D26</x:f>
        <x:v>-6489.43</x:v>
      </x:c>
      <x:c r="E27" s="26" t="n">
        <x:f>E25-E26</x:f>
        <x:v>-5900.78</x:v>
      </x:c>
      <x:c r="F27" s="26" t="n">
        <x:f>F25-F26</x:f>
        <x:v>-5900.78</x:v>
      </x:c>
      <x:c r="G27" s="26" t="n">
        <x:f>G25-G26</x:f>
        <x:v>-5900.78</x:v>
      </x:c>
      <x:c r="H27" s="26" t="n">
        <x:f>H25-H26</x:f>
        <x:v>-5900.78</x:v>
      </x:c>
      <x:c r="I27" s="26" t="n">
        <x:f>I25-I26</x:f>
        <x:v>-5400.78</x:v>
      </x:c>
      <x:c r="J27" s="26" t="n">
        <x:f>J25-J26</x:f>
        <x:v>-5400.78</x:v>
      </x:c>
      <x:c r="K27" s="26" t="n">
        <x:f>K25-K26</x:f>
        <x:v>-5400.78</x:v>
      </x:c>
      <x:c r="L27" s="26" t="n">
        <x:f>L25-L26</x:f>
        <x:v>-5400.78</x:v>
      </x:c>
      <x:c r="M27" s="26" t="n">
        <x:f>M25-M26</x:f>
        <x:v>-5400.78</x:v>
      </x:c>
      <x:c r="N27" s="31" t="n">
        <x:f>SUM(B27:M27)</x:f>
        <x:v>-71096.45</x:v>
      </x:c>
    </x:row>
    <x:row r="28" ht="21" customHeight="1">
      <x:c r="A28" s="1" t="str">
        <x:v>Cumulative operating result</x:v>
      </x:c>
      <x:c r="B28" s="19" t="n">
        <x:f>B25</x:f>
        <x:v>-2000</x:v>
      </x:c>
      <x:c r="C28" s="19" t="n">
        <x:f>B28+C25</x:f>
        <x:v>-4000</x:v>
      </x:c>
      <x:c r="D28" s="19" t="n">
        <x:f>C28+D25</x:f>
        <x:v>-5489.43</x:v>
      </x:c>
      <x:c r="E28" s="19" t="n">
        <x:f>D28+E25</x:f>
        <x:v>-6390.21</x:v>
      </x:c>
      <x:c r="F28" s="19" t="n">
        <x:f>E28+F25</x:f>
        <x:v>-7290.99</x:v>
      </x:c>
      <x:c r="G28" s="19" t="n">
        <x:f>F28+G25</x:f>
        <x:v>-8191.7699999999995</x:v>
      </x:c>
      <x:c r="H28" s="19" t="n">
        <x:f>G28+H25</x:f>
        <x:v>-9092.55</x:v>
      </x:c>
      <x:c r="I28" s="19" t="n">
        <x:f>H28+I25</x:f>
        <x:v>-9493.33</x:v>
      </x:c>
      <x:c r="J28" s="19" t="n">
        <x:f>I28+J25</x:f>
        <x:v>-9894.11</x:v>
      </x:c>
      <x:c r="K28" s="19" t="n">
        <x:f>J28+K25</x:f>
        <x:v>-10294.890000000001</x:v>
      </x:c>
      <x:c r="L28" s="19" t="n">
        <x:f>K28+L25</x:f>
        <x:v>-10695.670000000002</x:v>
      </x:c>
      <x:c r="M28" s="19" t="n">
        <x:f>L28+M25</x:f>
        <x:v>-11096.450000000003</x:v>
      </x:c>
      <x:c r="N28" s="30" t="n">
        <x:f>M28</x:f>
        <x:v>-11096.450000000003</x:v>
      </x:c>
    </x:row>
    <x:row r="29" ht="21" customHeight="1">
      <x:c r="A29" s="1" t="str">
        <x:v>Receipts after collection delay</x:v>
      </x:c>
      <x:c r="B29" s="19" t="n">
        <x:f>IF(1&lt;='Inputs'!$B$33,0,INDEX($B$13:$M$13,1,1-'Inputs'!$B$33))</x:f>
        <x:v>0</x:v>
      </x:c>
      <x:c r="C29" s="19" t="n">
        <x:f>IF(2&lt;='Inputs'!$B$33,0,INDEX($B$13:$M$13,1,2-'Inputs'!$B$33))</x:f>
        <x:v>0</x:v>
      </x:c>
      <x:c r="D29" s="19" t="n">
        <x:f>IF(3&lt;='Inputs'!$B$33,0,INDEX($B$13:$M$13,1,3-'Inputs'!$B$33))</x:f>
        <x:v>149</x:v>
      </x:c>
      <x:c r="E29" s="19" t="n">
        <x:f>IF(4&lt;='Inputs'!$B$33,0,INDEX($B$13:$M$13,1,4-'Inputs'!$B$33))</x:f>
        <x:v>149</x:v>
      </x:c>
      <x:c r="F29" s="19" t="n">
        <x:f>IF(5&lt;='Inputs'!$B$33,0,INDEX($B$13:$M$13,1,5-'Inputs'!$B$33))</x:f>
        <x:v>149</x:v>
      </x:c>
      <x:c r="G29" s="19" t="n">
        <x:f>IF(6&lt;='Inputs'!$B$33,0,INDEX($B$13:$M$13,1,6-'Inputs'!$B$33))</x:f>
        <x:v>149</x:v>
      </x:c>
      <x:c r="H29" s="19" t="n">
        <x:f>IF(7&lt;='Inputs'!$B$33,0,INDEX($B$13:$M$13,1,7-'Inputs'!$B$33))</x:f>
        <x:v>149</x:v>
      </x:c>
      <x:c r="I29" s="19" t="n">
        <x:f>IF(8&lt;='Inputs'!$B$33,0,INDEX($B$13:$M$13,1,8-'Inputs'!$B$33))</x:f>
        <x:v>149</x:v>
      </x:c>
      <x:c r="J29" s="19" t="n">
        <x:f>IF(9&lt;='Inputs'!$B$33,0,INDEX($B$13:$M$13,1,9-'Inputs'!$B$33))</x:f>
        <x:v>149</x:v>
      </x:c>
      <x:c r="K29" s="19" t="n">
        <x:f>IF(10&lt;='Inputs'!$B$33,0,INDEX($B$13:$M$13,1,10-'Inputs'!$B$33))</x:f>
        <x:v>149</x:v>
      </x:c>
      <x:c r="L29" s="19" t="n">
        <x:f>IF(11&lt;='Inputs'!$B$33,0,INDEX($B$13:$M$13,1,11-'Inputs'!$B$33))</x:f>
        <x:v>149</x:v>
      </x:c>
      <x:c r="M29" s="19" t="n">
        <x:f>IF(12&lt;='Inputs'!$B$33,0,INDEX($B$13:$M$13,1,12-'Inputs'!$B$33))</x:f>
        <x:v>149</x:v>
      </x:c>
      <x:c r="N29" s="30" t="n">
        <x:f>SUM(B29:M29)</x:f>
        <x:v>1490</x:v>
      </x:c>
    </x:row>
    <x:row r="30" ht="21" customHeight="1">
      <x:c r="A30" s="1" t="str">
        <x:v>Cash flow after collection delay</x:v>
      </x:c>
      <x:c r="B30" s="19" t="n">
        <x:f>B29-B24</x:f>
        <x:v>-2000</x:v>
      </x:c>
      <x:c r="C30" s="19" t="n">
        <x:f>C29-C24</x:f>
        <x:v>-2000</x:v>
      </x:c>
      <x:c r="D30" s="19" t="n">
        <x:f>D29-D24</x:f>
        <x:v>-1489.43</x:v>
      </x:c>
      <x:c r="E30" s="19" t="n">
        <x:f>E29-E24</x:f>
        <x:v>-900.78</x:v>
      </x:c>
      <x:c r="F30" s="19" t="n">
        <x:f>F29-F24</x:f>
        <x:v>-900.78</x:v>
      </x:c>
      <x:c r="G30" s="19" t="n">
        <x:f>G29-G24</x:f>
        <x:v>-900.78</x:v>
      </x:c>
      <x:c r="H30" s="19" t="n">
        <x:f>H29-H24</x:f>
        <x:v>-900.78</x:v>
      </x:c>
      <x:c r="I30" s="19" t="n">
        <x:f>I29-I24</x:f>
        <x:v>-400.78</x:v>
      </x:c>
      <x:c r="J30" s="19" t="n">
        <x:f>J29-J24</x:f>
        <x:v>-400.78</x:v>
      </x:c>
      <x:c r="K30" s="19" t="n">
        <x:f>K29-K24</x:f>
        <x:v>-400.78</x:v>
      </x:c>
      <x:c r="L30" s="19" t="n">
        <x:f>L29-L24</x:f>
        <x:v>-400.78</x:v>
      </x:c>
      <x:c r="M30" s="19" t="n">
        <x:f>M29-M24</x:f>
        <x:v>-400.78</x:v>
      </x:c>
      <x:c r="N30" s="30" t="n">
        <x:f>SUM(B30:M30)</x:f>
        <x:v>-11096.450000000003</x:v>
      </x:c>
    </x:row>
    <x:row r="31" ht="21" customHeight="1">
      <x:c r="A31" s="25" t="str">
        <x:v>Cumulative cash excluding founder</x:v>
      </x:c>
      <x:c r="B31" s="26" t="n">
        <x:f>B30</x:f>
        <x:v>-2000</x:v>
      </x:c>
      <x:c r="C31" s="26" t="n">
        <x:f>B31+C30</x:f>
        <x:v>-4000</x:v>
      </x:c>
      <x:c r="D31" s="26" t="n">
        <x:f>C31+D30</x:f>
        <x:v>-5489.43</x:v>
      </x:c>
      <x:c r="E31" s="26" t="n">
        <x:f>D31+E30</x:f>
        <x:v>-6390.21</x:v>
      </x:c>
      <x:c r="F31" s="26" t="n">
        <x:f>E31+F30</x:f>
        <x:v>-7290.99</x:v>
      </x:c>
      <x:c r="G31" s="26" t="n">
        <x:f>F31+G30</x:f>
        <x:v>-8191.7699999999995</x:v>
      </x:c>
      <x:c r="H31" s="26" t="n">
        <x:f>G31+H30</x:f>
        <x:v>-9092.55</x:v>
      </x:c>
      <x:c r="I31" s="26" t="n">
        <x:f>H31+I30</x:f>
        <x:v>-9493.33</x:v>
      </x:c>
      <x:c r="J31" s="26" t="n">
        <x:f>I31+J30</x:f>
        <x:v>-9894.11</x:v>
      </x:c>
      <x:c r="K31" s="26" t="n">
        <x:f>J31+K30</x:f>
        <x:v>-10294.890000000001</x:v>
      </x:c>
      <x:c r="L31" s="26" t="n">
        <x:f>K31+L30</x:f>
        <x:v>-10695.670000000002</x:v>
      </x:c>
      <x:c r="M31" s="26" t="n">
        <x:f>L31+M30</x:f>
        <x:v>-11096.450000000003</x:v>
      </x:c>
      <x:c r="N31" s="31" t="n">
        <x:f>M31</x:f>
        <x:v>-11096.450000000003</x:v>
      </x:c>
    </x:row>
    <x:row r="32" ht="21" customHeight="1">
      <x:c r="A32" s="25" t="str">
        <x:v>Cumulative cash including founder</x:v>
      </x:c>
      <x:c r="B32" s="26" t="n">
        <x:f>B30-B26</x:f>
        <x:v>-7000</x:v>
      </x:c>
      <x:c r="C32" s="26" t="n">
        <x:f>B32+C30-C26</x:f>
        <x:v>-14000</x:v>
      </x:c>
      <x:c r="D32" s="26" t="n">
        <x:f>C32+D30-D26</x:f>
        <x:v>-20489.43</x:v>
      </x:c>
      <x:c r="E32" s="26" t="n">
        <x:f>D32+E30-E26</x:f>
        <x:v>-26390.21</x:v>
      </x:c>
      <x:c r="F32" s="26" t="n">
        <x:f>E32+F30-F26</x:f>
        <x:v>-32290.989999999998</x:v>
      </x:c>
      <x:c r="G32" s="26" t="n">
        <x:f>F32+G30-G26</x:f>
        <x:v>-38191.77</x:v>
      </x:c>
      <x:c r="H32" s="26" t="n">
        <x:f>G32+H30-H26</x:f>
        <x:v>-44092.549999999996</x:v>
      </x:c>
      <x:c r="I32" s="26" t="n">
        <x:f>H32+I30-I26</x:f>
        <x:v>-49493.329999999994</x:v>
      </x:c>
      <x:c r="J32" s="26" t="n">
        <x:f>I32+J30-J26</x:f>
        <x:v>-54894.10999999999</x:v>
      </x:c>
      <x:c r="K32" s="26" t="n">
        <x:f>J32+K30-K26</x:f>
        <x:v>-60294.88999999999</x:v>
      </x:c>
      <x:c r="L32" s="26" t="n">
        <x:f>K32+L30-L26</x:f>
        <x:v>-65695.66999999998</x:v>
      </x:c>
      <x:c r="M32" s="26" t="n">
        <x:f>L32+M30-M26</x:f>
        <x:v>-71096.44999999998</x:v>
      </x:c>
      <x:c r="N32" s="31" t="n">
        <x:f>M32</x:f>
        <x:v>-71096.44999999998</x:v>
      </x:c>
    </x:row>
    <x:row r="33" ht="21" customHeight="1">
      <x:c r="A33" s="1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30"/>
    </x:row>
    <x:row r="34" ht="21" customHeight="1">
      <x:c r="A34" s="25" t="str">
        <x:v>Delivery contribution before fixed costs</x:v>
      </x:c>
      <x:c r="B34" s="26" t="n">
        <x:f>B13-SUM(B14:B18)</x:f>
        <x:v>0</x:v>
      </x:c>
      <x:c r="C34" s="26" t="n">
        <x:f>C13-SUM(C14:C18)</x:f>
        <x:v>0</x:v>
      </x:c>
      <x:c r="D34" s="26" t="n">
        <x:f>D13-SUM(D14:D18)</x:f>
        <x:v>10.569999999999993</x:v>
      </x:c>
      <x:c r="E34" s="26" t="n">
        <x:f>E13-SUM(E14:E18)</x:f>
        <x:v>99.22</x:v>
      </x:c>
      <x:c r="F34" s="26" t="n">
        <x:f>F13-SUM(F14:F18)</x:f>
        <x:v>99.22</x:v>
      </x:c>
      <x:c r="G34" s="26" t="n">
        <x:f>G13-SUM(G14:G18)</x:f>
        <x:v>99.22</x:v>
      </x:c>
      <x:c r="H34" s="26" t="n">
        <x:f>H13-SUM(H14:H18)</x:f>
        <x:v>99.22</x:v>
      </x:c>
      <x:c r="I34" s="26" t="n">
        <x:f>I13-SUM(I14:I18)</x:f>
        <x:v>99.22</x:v>
      </x:c>
      <x:c r="J34" s="26" t="n">
        <x:f>J13-SUM(J14:J18)</x:f>
        <x:v>99.22</x:v>
      </x:c>
      <x:c r="K34" s="26" t="n">
        <x:f>K13-SUM(K14:K18)</x:f>
        <x:v>99.22</x:v>
      </x:c>
      <x:c r="L34" s="26" t="n">
        <x:f>L13-SUM(L14:L18)</x:f>
        <x:v>99.22</x:v>
      </x:c>
      <x:c r="M34" s="26" t="n">
        <x:f>M13-SUM(M14:M18)</x:f>
        <x:v>99.22</x:v>
      </x:c>
      <x:c r="N34" s="31" t="n">
        <x:f>SUM(B34:M34)</x:f>
        <x:v>903.5500000000002</x:v>
      </x:c>
    </x:row>
    <x:row r="35" ht="21" customHeight="1">
      <x:c r="A35" s="1" t="str">
        <x:v>Delivery contribution percent</x:v>
      </x:c>
      <x:c r="B35" s="22" t="str">
        <x:f>IF(B13=0,"",B34/B13)</x:f>
      </x:c>
      <x:c r="C35" s="22" t="str">
        <x:f>IF(C13=0,"",C34/C13)</x:f>
      </x:c>
      <x:c r="D35" s="22" t="n">
        <x:f>IF(D13=0,"",D34/D13)</x:f>
        <x:v>0.0709395973154362</x:v>
      </x:c>
      <x:c r="E35" s="22" t="n">
        <x:f>IF(E13=0,"",E34/E13)</x:f>
        <x:v>0.6659060402684563</x:v>
      </x:c>
      <x:c r="F35" s="22" t="n">
        <x:f>IF(F13=0,"",F34/F13)</x:f>
        <x:v>0.6659060402684563</x:v>
      </x:c>
      <x:c r="G35" s="22" t="n">
        <x:f>IF(G13=0,"",G34/G13)</x:f>
        <x:v>0.6659060402684563</x:v>
      </x:c>
      <x:c r="H35" s="22" t="n">
        <x:f>IF(H13=0,"",H34/H13)</x:f>
        <x:v>0.6659060402684563</x:v>
      </x:c>
      <x:c r="I35" s="22" t="n">
        <x:f>IF(I13=0,"",I34/I13)</x:f>
        <x:v>0.6659060402684563</x:v>
      </x:c>
      <x:c r="J35" s="22" t="n">
        <x:f>IF(J13=0,"",J34/J13)</x:f>
        <x:v>0.6659060402684563</x:v>
      </x:c>
      <x:c r="K35" s="22" t="n">
        <x:f>IF(K13=0,"",K34/K13)</x:f>
        <x:v>0.6659060402684563</x:v>
      </x:c>
      <x:c r="L35" s="22" t="n">
        <x:f>IF(L13=0,"",L34/L13)</x:f>
        <x:v>0.6659060402684563</x:v>
      </x:c>
      <x:c r="M35" s="22" t="n">
        <x:f>IF(M13=0,"",M34/M13)</x:f>
        <x:v>0.6659060402684563</x:v>
      </x:c>
      <x:c r="N35" s="32" t="n">
        <x:f>N34/N13</x:f>
        <x:v>0.6064093959731545</x:v>
      </x:c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5" hidden="0" customWidth="1"/>
  </x:cols>
  <x:sheetData>
    <x:row r="1" ht="21" customHeight="1">
      <x:c r="A1" s="2" t="str">
        <x:v>10 institutions in year one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1" t="str">
        <x:v>USD. Conditional monthly targets. Video, top-ups and professor sales excluded.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9" t="str">
        <x:v>Projection month</x:v>
      </x:c>
      <x:c r="B5" s="18" t="n">
        <x:f>EDATE('Inputs'!$B$4,0)</x:f>
        <x:v>46327</x:v>
      </x:c>
      <x:c r="C5" s="18" t="n">
        <x:f>EDATE('Inputs'!$B$4,1)</x:f>
        <x:v>46357</x:v>
      </x:c>
      <x:c r="D5" s="18" t="n">
        <x:f>EDATE('Inputs'!$B$4,2)</x:f>
        <x:v>46388</x:v>
      </x:c>
      <x:c r="E5" s="18" t="n">
        <x:f>EDATE('Inputs'!$B$4,3)</x:f>
        <x:v>46419</x:v>
      </x:c>
      <x:c r="F5" s="18" t="n">
        <x:f>EDATE('Inputs'!$B$4,4)</x:f>
        <x:v>46447</x:v>
      </x:c>
      <x:c r="G5" s="18" t="n">
        <x:f>EDATE('Inputs'!$B$4,5)</x:f>
        <x:v>46478</x:v>
      </x:c>
      <x:c r="H5" s="18" t="n">
        <x:f>EDATE('Inputs'!$B$4,6)</x:f>
        <x:v>46508</x:v>
      </x:c>
      <x:c r="I5" s="18" t="n">
        <x:f>EDATE('Inputs'!$B$4,7)</x:f>
        <x:v>46539</x:v>
      </x:c>
      <x:c r="J5" s="18" t="n">
        <x:f>EDATE('Inputs'!$B$4,8)</x:f>
        <x:v>46569</x:v>
      </x:c>
      <x:c r="K5" s="18" t="n">
        <x:f>EDATE('Inputs'!$B$4,9)</x:f>
        <x:v>46600</x:v>
      </x:c>
      <x:c r="L5" s="18" t="n">
        <x:f>EDATE('Inputs'!$B$4,10)</x:f>
        <x:v>46631</x:v>
      </x:c>
      <x:c r="M5" s="18" t="n">
        <x:f>EDATE('Inputs'!$B$4,11)</x:f>
        <x:v>46661</x:v>
      </x:c>
      <x:c r="N5" s="9" t="str">
        <x:v>Year one</x:v>
      </x:c>
    </x:row>
    <x:row r="6" ht="21" customHeight="1">
      <x:c r="A6" s="1" t="str">
        <x:v>Active paying accounts</x:v>
      </x:c>
      <x:c r="B6" s="20" t="n">
        <x:f>'Inputs'!B39</x:f>
        <x:v>0</x:v>
      </x:c>
      <x:c r="C6" s="20" t="n">
        <x:f>'Inputs'!C39</x:f>
        <x:v>1</x:v>
      </x:c>
      <x:c r="D6" s="20" t="n">
        <x:f>'Inputs'!D39</x:f>
        <x:v>1</x:v>
      </x:c>
      <x:c r="E6" s="20" t="n">
        <x:f>'Inputs'!E39</x:f>
        <x:v>2</x:v>
      </x:c>
      <x:c r="F6" s="20" t="n">
        <x:f>'Inputs'!F39</x:f>
        <x:v>3</x:v>
      </x:c>
      <x:c r="G6" s="20" t="n">
        <x:f>'Inputs'!G39</x:f>
        <x:v>4</x:v>
      </x:c>
      <x:c r="H6" s="20" t="n">
        <x:f>'Inputs'!H39</x:f>
        <x:v>5</x:v>
      </x:c>
      <x:c r="I6" s="20" t="n">
        <x:f>'Inputs'!I39</x:f>
        <x:v>6</x:v>
      </x:c>
      <x:c r="J6" s="20" t="n">
        <x:f>'Inputs'!J39</x:f>
        <x:v>7</x:v>
      </x:c>
      <x:c r="K6" s="20" t="n">
        <x:f>'Inputs'!K39</x:f>
        <x:v>8</x:v>
      </x:c>
      <x:c r="L6" s="20" t="n">
        <x:f>'Inputs'!L39</x:f>
        <x:v>9</x:v>
      </x:c>
      <x:c r="M6" s="20" t="n">
        <x:f>'Inputs'!M39</x:f>
        <x:v>10</x:v>
      </x:c>
      <x:c r="N6" s="27" t="n">
        <x:f>M6</x:f>
        <x:v>10</x:v>
      </x:c>
    </x:row>
    <x:row r="7" ht="21" customHeight="1">
      <x:c r="A7" s="1" t="str">
        <x:v>Gross new accounts incl replacements</x:v>
      </x:c>
      <x:c r="B7" s="21" t="n">
        <x:f>B6</x:f>
        <x:v>0</x:v>
      </x:c>
      <x:c r="C7" s="21" t="n">
        <x:f>MAX(0,C6-B6+B6*'Inputs'!$B$29)</x:f>
        <x:v>1</x:v>
      </x:c>
      <x:c r="D7" s="21" t="n">
        <x:f>MAX(0,D6-C6+C6*'Inputs'!$B$29)</x:f>
        <x:v>0.015</x:v>
      </x:c>
      <x:c r="E7" s="21" t="n">
        <x:f>MAX(0,E6-D6+D6*'Inputs'!$B$29)</x:f>
        <x:v>1.015</x:v>
      </x:c>
      <x:c r="F7" s="21" t="n">
        <x:f>MAX(0,F6-E6+E6*'Inputs'!$B$29)</x:f>
        <x:v>1.03</x:v>
      </x:c>
      <x:c r="G7" s="21" t="n">
        <x:f>MAX(0,G6-F6+F6*'Inputs'!$B$29)</x:f>
        <x:v>1.045</x:v>
      </x:c>
      <x:c r="H7" s="21" t="n">
        <x:f>MAX(0,H6-G6+G6*'Inputs'!$B$29)</x:f>
        <x:v>1.06</x:v>
      </x:c>
      <x:c r="I7" s="21" t="n">
        <x:f>MAX(0,I6-H6+H6*'Inputs'!$B$29)</x:f>
        <x:v>1.075</x:v>
      </x:c>
      <x:c r="J7" s="21" t="n">
        <x:f>MAX(0,J6-I6+I6*'Inputs'!$B$29)</x:f>
        <x:v>1.09</x:v>
      </x:c>
      <x:c r="K7" s="21" t="n">
        <x:f>MAX(0,K6-J6+J6*'Inputs'!$B$29)</x:f>
        <x:v>1.105</x:v>
      </x:c>
      <x:c r="L7" s="21" t="n">
        <x:f>MAX(0,L6-K6+K6*'Inputs'!$B$29)</x:f>
        <x:v>1.12</x:v>
      </x:c>
      <x:c r="M7" s="21" t="n">
        <x:f>MAX(0,M6-L6+L6*'Inputs'!$B$29)</x:f>
        <x:v>1.135</x:v>
      </x:c>
      <x:c r="N7" s="28" t="n">
        <x:f>SUM(B7:M7)</x:f>
        <x:v>10.69</x:v>
      </x:c>
    </x:row>
    <x:row r="8" ht="21" customHeight="1">
      <x:c r="A8" s="1" t="str">
        <x:v>Average subscription price</x:v>
      </x:c>
      <x:c r="B8" s="13" t="n">
        <x:f>'Inputs'!$C$19</x:f>
        <x:v>179</x:v>
      </x:c>
      <x:c r="C8" s="13" t="n">
        <x:f>'Inputs'!$C$19</x:f>
        <x:v>179</x:v>
      </x:c>
      <x:c r="D8" s="13" t="n">
        <x:f>'Inputs'!$C$19</x:f>
        <x:v>179</x:v>
      </x:c>
      <x:c r="E8" s="13" t="n">
        <x:f>'Inputs'!$C$19</x:f>
        <x:v>179</x:v>
      </x:c>
      <x:c r="F8" s="13" t="n">
        <x:f>'Inputs'!$C$19</x:f>
        <x:v>179</x:v>
      </x:c>
      <x:c r="G8" s="13" t="n">
        <x:f>'Inputs'!$C$19</x:f>
        <x:v>179</x:v>
      </x:c>
      <x:c r="H8" s="13" t="n">
        <x:f>'Inputs'!$C$19</x:f>
        <x:v>179</x:v>
      </x:c>
      <x:c r="I8" s="13" t="n">
        <x:f>'Inputs'!$C$19</x:f>
        <x:v>179</x:v>
      </x:c>
      <x:c r="J8" s="13" t="n">
        <x:f>'Inputs'!$C$19</x:f>
        <x:v>179</x:v>
      </x:c>
      <x:c r="K8" s="13" t="n">
        <x:f>'Inputs'!$C$19</x:f>
        <x:v>179</x:v>
      </x:c>
      <x:c r="L8" s="13" t="n">
        <x:f>'Inputs'!$C$19</x:f>
        <x:v>179</x:v>
      </x:c>
      <x:c r="M8" s="13" t="n">
        <x:f>'Inputs'!$C$19</x:f>
        <x:v>179</x:v>
      </x:c>
      <x:c r="N8" s="29" t="n">
        <x:f>M8</x:f>
        <x:v>179</x:v>
      </x:c>
    </x:row>
    <x:row r="9" ht="21" customHeight="1">
      <x:c r="A9" s="1" t="str">
        <x:v>Allowance per account</x:v>
      </x:c>
      <x:c r="B9" s="20" t="n">
        <x:f>'Inputs'!$C$20</x:f>
        <x:v>2900</x:v>
      </x:c>
      <x:c r="C9" s="20" t="n">
        <x:f>'Inputs'!$C$20</x:f>
        <x:v>2900</x:v>
      </x:c>
      <x:c r="D9" s="20" t="n">
        <x:f>'Inputs'!$C$20</x:f>
        <x:v>2900</x:v>
      </x:c>
      <x:c r="E9" s="20" t="n">
        <x:f>'Inputs'!$C$20</x:f>
        <x:v>2900</x:v>
      </x:c>
      <x:c r="F9" s="20" t="n">
        <x:f>'Inputs'!$C$20</x:f>
        <x:v>2900</x:v>
      </x:c>
      <x:c r="G9" s="20" t="n">
        <x:f>'Inputs'!$C$20</x:f>
        <x:v>2900</x:v>
      </x:c>
      <x:c r="H9" s="20" t="n">
        <x:f>'Inputs'!$C$20</x:f>
        <x:v>2900</x:v>
      </x:c>
      <x:c r="I9" s="20" t="n">
        <x:f>'Inputs'!$C$20</x:f>
        <x:v>2900</x:v>
      </x:c>
      <x:c r="J9" s="20" t="n">
        <x:f>'Inputs'!$C$20</x:f>
        <x:v>2900</x:v>
      </x:c>
      <x:c r="K9" s="20" t="n">
        <x:f>'Inputs'!$C$20</x:f>
        <x:v>2900</x:v>
      </x:c>
      <x:c r="L9" s="20" t="n">
        <x:f>'Inputs'!$C$20</x:f>
        <x:v>2900</x:v>
      </x:c>
      <x:c r="M9" s="20" t="n">
        <x:f>'Inputs'!$C$20</x:f>
        <x:v>2900</x:v>
      </x:c>
      <x:c r="N9" s="27" t="n">
        <x:f>M9</x:f>
        <x:v>2900</x:v>
      </x:c>
    </x:row>
    <x:row r="10" ht="21" customHeight="1">
      <x:c r="A10" s="1" t="str">
        <x:v>Images processed</x:v>
      </x:c>
      <x:c r="B10" s="20" t="n">
        <x:f>B6*B9*'Inputs'!$B$24</x:f>
        <x:v>0</x:v>
      </x:c>
      <x:c r="C10" s="20" t="n">
        <x:f>C6*C9*'Inputs'!$B$24</x:f>
        <x:v>1450</x:v>
      </x:c>
      <x:c r="D10" s="20" t="n">
        <x:f>D6*D9*'Inputs'!$B$24</x:f>
        <x:v>1450</x:v>
      </x:c>
      <x:c r="E10" s="20" t="n">
        <x:f>E6*E9*'Inputs'!$B$24</x:f>
        <x:v>2900</x:v>
      </x:c>
      <x:c r="F10" s="20" t="n">
        <x:f>F6*F9*'Inputs'!$B$24</x:f>
        <x:v>4350</x:v>
      </x:c>
      <x:c r="G10" s="20" t="n">
        <x:f>G6*G9*'Inputs'!$B$24</x:f>
        <x:v>5800</x:v>
      </x:c>
      <x:c r="H10" s="20" t="n">
        <x:f>H6*H9*'Inputs'!$B$24</x:f>
        <x:v>7250</x:v>
      </x:c>
      <x:c r="I10" s="20" t="n">
        <x:f>I6*I9*'Inputs'!$B$24</x:f>
        <x:v>8700</x:v>
      </x:c>
      <x:c r="J10" s="20" t="n">
        <x:f>J6*J9*'Inputs'!$B$24</x:f>
        <x:v>10150</x:v>
      </x:c>
      <x:c r="K10" s="20" t="n">
        <x:f>K6*K9*'Inputs'!$B$24</x:f>
        <x:v>11600</x:v>
      </x:c>
      <x:c r="L10" s="20" t="n">
        <x:f>L6*L9*'Inputs'!$B$24</x:f>
        <x:v>13050</x:v>
      </x:c>
      <x:c r="M10" s="20" t="n">
        <x:f>M6*M9*'Inputs'!$B$24</x:f>
        <x:v>14500</x:v>
      </x:c>
      <x:c r="N10" s="27" t="n">
        <x:f>SUM(B10:M10)</x:f>
        <x:v>81200</x:v>
      </x:c>
    </x:row>
    <x:row r="11" ht="21" customHeight="1">
      <x:c r="A11" s="1" t="str">
        <x:v>Subscription revenue</x:v>
      </x:c>
      <x:c r="B11" s="19" t="n">
        <x:f>B6*B8</x:f>
        <x:v>0</x:v>
      </x:c>
      <x:c r="C11" s="19" t="n">
        <x:f>C6*C8</x:f>
        <x:v>179</x:v>
      </x:c>
      <x:c r="D11" s="19" t="n">
        <x:f>D6*D8</x:f>
        <x:v>179</x:v>
      </x:c>
      <x:c r="E11" s="19" t="n">
        <x:f>E6*E8</x:f>
        <x:v>358</x:v>
      </x:c>
      <x:c r="F11" s="19" t="n">
        <x:f>F6*F8</x:f>
        <x:v>537</x:v>
      </x:c>
      <x:c r="G11" s="19" t="n">
        <x:f>G6*G8</x:f>
        <x:v>716</x:v>
      </x:c>
      <x:c r="H11" s="19" t="n">
        <x:f>H6*H8</x:f>
        <x:v>895</x:v>
      </x:c>
      <x:c r="I11" s="19" t="n">
        <x:f>I6*I8</x:f>
        <x:v>1074</x:v>
      </x:c>
      <x:c r="J11" s="19" t="n">
        <x:f>J6*J8</x:f>
        <x:v>1253</x:v>
      </x:c>
      <x:c r="K11" s="19" t="n">
        <x:f>K6*K8</x:f>
        <x:v>1432</x:v>
      </x:c>
      <x:c r="L11" s="19" t="n">
        <x:f>L6*L8</x:f>
        <x:v>1611</x:v>
      </x:c>
      <x:c r="M11" s="19" t="n">
        <x:f>M6*M8</x:f>
        <x:v>1790</x:v>
      </x:c>
      <x:c r="N11" s="30" t="n">
        <x:f>SUM(B11:M11)</x:f>
        <x:v>10024</x:v>
      </x:c>
    </x:row>
    <x:row r="12" ht="21" customHeight="1">
      <x:c r="A12" s="1" t="str">
        <x:v>Setup revenue</x:v>
      </x:c>
      <x:c r="B12" s="19" t="n">
        <x:f>B7*'Inputs'!$C$21</x:f>
        <x:v>0</x:v>
      </x:c>
      <x:c r="C12" s="19" t="n">
        <x:f>C7*'Inputs'!$C$21</x:f>
        <x:v>199</x:v>
      </x:c>
      <x:c r="D12" s="19" t="n">
        <x:f>D7*'Inputs'!$C$21</x:f>
        <x:v>2.985</x:v>
      </x:c>
      <x:c r="E12" s="19" t="n">
        <x:f>E7*'Inputs'!$C$21</x:f>
        <x:v>201.98499999999999</x:v>
      </x:c>
      <x:c r="F12" s="19" t="n">
        <x:f>F7*'Inputs'!$C$21</x:f>
        <x:v>204.97</x:v>
      </x:c>
      <x:c r="G12" s="19" t="n">
        <x:f>G7*'Inputs'!$C$21</x:f>
        <x:v>207.95499999999998</x:v>
      </x:c>
      <x:c r="H12" s="19" t="n">
        <x:f>H7*'Inputs'!$C$21</x:f>
        <x:v>210.94</x:v>
      </x:c>
      <x:c r="I12" s="19" t="n">
        <x:f>I7*'Inputs'!$C$21</x:f>
        <x:v>213.92499999999998</x:v>
      </x:c>
      <x:c r="J12" s="19" t="n">
        <x:f>J7*'Inputs'!$C$21</x:f>
        <x:v>216.91000000000003</x:v>
      </x:c>
      <x:c r="K12" s="19" t="n">
        <x:f>K7*'Inputs'!$C$21</x:f>
        <x:v>219.895</x:v>
      </x:c>
      <x:c r="L12" s="19" t="n">
        <x:f>L7*'Inputs'!$C$21</x:f>
        <x:v>222.88000000000002</x:v>
      </x:c>
      <x:c r="M12" s="19" t="n">
        <x:f>M7*'Inputs'!$C$21</x:f>
        <x:v>225.865</x:v>
      </x:c>
      <x:c r="N12" s="30" t="n">
        <x:f>SUM(B12:M12)</x:f>
        <x:v>2127.3100000000004</x:v>
      </x:c>
    </x:row>
    <x:row r="13" ht="21" customHeight="1">
      <x:c r="A13" s="25" t="str">
        <x:v>Total billed revenue</x:v>
      </x:c>
      <x:c r="B13" s="26" t="n">
        <x:f>SUM(B11:B12)</x:f>
        <x:v>0</x:v>
      </x:c>
      <x:c r="C13" s="26" t="n">
        <x:f>SUM(C11:C12)</x:f>
        <x:v>378</x:v>
      </x:c>
      <x:c r="D13" s="26" t="n">
        <x:f>SUM(D11:D12)</x:f>
        <x:v>181.985</x:v>
      </x:c>
      <x:c r="E13" s="26" t="n">
        <x:f>SUM(E11:E12)</x:f>
        <x:v>559.985</x:v>
      </x:c>
      <x:c r="F13" s="26" t="n">
        <x:f>SUM(F11:F12)</x:f>
        <x:v>741.97</x:v>
      </x:c>
      <x:c r="G13" s="26" t="n">
        <x:f>SUM(G11:G12)</x:f>
        <x:v>923.9549999999999</x:v>
      </x:c>
      <x:c r="H13" s="26" t="n">
        <x:f>SUM(H11:H12)</x:f>
        <x:v>1105.94</x:v>
      </x:c>
      <x:c r="I13" s="26" t="n">
        <x:f>SUM(I11:I12)</x:f>
        <x:v>1287.925</x:v>
      </x:c>
      <x:c r="J13" s="26" t="n">
        <x:f>SUM(J11:J12)</x:f>
        <x:v>1469.91</x:v>
      </x:c>
      <x:c r="K13" s="26" t="n">
        <x:f>SUM(K11:K12)</x:f>
        <x:v>1651.895</x:v>
      </x:c>
      <x:c r="L13" s="26" t="n">
        <x:f>SUM(L11:L12)</x:f>
        <x:v>1833.88</x:v>
      </x:c>
      <x:c r="M13" s="26" t="n">
        <x:f>SUM(M11:M12)</x:f>
        <x:v>2015.865</x:v>
      </x:c>
      <x:c r="N13" s="31" t="n">
        <x:f>SUM(B13:M13)</x:f>
        <x:v>12151.31</x:v>
      </x:c>
    </x:row>
    <x:row r="14" ht="21" customHeight="1">
      <x:c r="A14" s="1" t="str">
        <x:v>Variable image delivery cost</x:v>
      </x:c>
      <x:c r="B14" s="19" t="n">
        <x:f>B10*'Inputs'!$B$25</x:f>
        <x:v>0</x:v>
      </x:c>
      <x:c r="C14" s="19" t="n">
        <x:f>C10*'Inputs'!$B$25</x:f>
        <x:v>21.75</x:v>
      </x:c>
      <x:c r="D14" s="19" t="n">
        <x:f>D10*'Inputs'!$B$25</x:f>
        <x:v>21.75</x:v>
      </x:c>
      <x:c r="E14" s="19" t="n">
        <x:f>E10*'Inputs'!$B$25</x:f>
        <x:v>43.5</x:v>
      </x:c>
      <x:c r="F14" s="19" t="n">
        <x:f>F10*'Inputs'!$B$25</x:f>
        <x:v>65.25</x:v>
      </x:c>
      <x:c r="G14" s="19" t="n">
        <x:f>G10*'Inputs'!$B$25</x:f>
        <x:v>87</x:v>
      </x:c>
      <x:c r="H14" s="19" t="n">
        <x:f>H10*'Inputs'!$B$25</x:f>
        <x:v>108.75</x:v>
      </x:c>
      <x:c r="I14" s="19" t="n">
        <x:f>I10*'Inputs'!$B$25</x:f>
        <x:v>130.5</x:v>
      </x:c>
      <x:c r="J14" s="19" t="n">
        <x:f>J10*'Inputs'!$B$25</x:f>
        <x:v>152.25</x:v>
      </x:c>
      <x:c r="K14" s="19" t="n">
        <x:f>K10*'Inputs'!$B$25</x:f>
        <x:v>174</x:v>
      </x:c>
      <x:c r="L14" s="19" t="n">
        <x:f>L10*'Inputs'!$B$25</x:f>
        <x:v>195.75</x:v>
      </x:c>
      <x:c r="M14" s="19" t="n">
        <x:f>M10*'Inputs'!$B$25</x:f>
        <x:v>217.5</x:v>
      </x:c>
      <x:c r="N14" s="30" t="n">
        <x:f>SUM(B14:M14)</x:f>
        <x:v>1218</x:v>
      </x:c>
    </x:row>
    <x:row r="15" ht="21" customHeight="1">
      <x:c r="A15" s="1" t="str">
        <x:v>Payment fees</x:v>
      </x:c>
      <x:c r="B15" s="19" t="n">
        <x:f>B13*'Inputs'!$B$26+B6*'Inputs'!$B$27</x:f>
        <x:v>0</x:v>
      </x:c>
      <x:c r="C15" s="19" t="n">
        <x:f>C13*'Inputs'!$B$26+C6*'Inputs'!$B$27</x:f>
        <x:v>19.400000000000002</x:v>
      </x:c>
      <x:c r="D15" s="19" t="n">
        <x:f>D13*'Inputs'!$B$26+D6*'Inputs'!$B$27</x:f>
        <x:v>9.599250000000001</x:v>
      </x:c>
      <x:c r="E15" s="19" t="n">
        <x:f>E13*'Inputs'!$B$26+E6*'Inputs'!$B$27</x:f>
        <x:v>28.999250000000004</x:v>
      </x:c>
      <x:c r="F15" s="19" t="n">
        <x:f>F13*'Inputs'!$B$26+F6*'Inputs'!$B$27</x:f>
        <x:v>38.5985</x:v>
      </x:c>
      <x:c r="G15" s="19" t="n">
        <x:f>G13*'Inputs'!$B$26+G6*'Inputs'!$B$27</x:f>
        <x:v>48.19775</x:v>
      </x:c>
      <x:c r="H15" s="19" t="n">
        <x:f>H13*'Inputs'!$B$26+H6*'Inputs'!$B$27</x:f>
        <x:v>57.797000000000004</x:v>
      </x:c>
      <x:c r="I15" s="19" t="n">
        <x:f>I13*'Inputs'!$B$26+I6*'Inputs'!$B$27</x:f>
        <x:v>67.39625</x:v>
      </x:c>
      <x:c r="J15" s="19" t="n">
        <x:f>J13*'Inputs'!$B$26+J6*'Inputs'!$B$27</x:f>
        <x:v>76.9955</x:v>
      </x:c>
      <x:c r="K15" s="19" t="n">
        <x:f>K13*'Inputs'!$B$26+K6*'Inputs'!$B$27</x:f>
        <x:v>86.59475</x:v>
      </x:c>
      <x:c r="L15" s="19" t="n">
        <x:f>L13*'Inputs'!$B$26+L6*'Inputs'!$B$27</x:f>
        <x:v>96.19400000000002</x:v>
      </x:c>
      <x:c r="M15" s="19" t="n">
        <x:f>M13*'Inputs'!$B$26+M6*'Inputs'!$B$27</x:f>
        <x:v>105.79325</x:v>
      </x:c>
      <x:c r="N15" s="30" t="n">
        <x:f>SUM(B15:M15)</x:f>
        <x:v>635.5654999999999</x:v>
      </x:c>
    </x:row>
    <x:row r="16" ht="21" customHeight="1">
      <x:c r="A16" s="1" t="str">
        <x:v>Refund and collection reserve</x:v>
      </x:c>
      <x:c r="B16" s="19" t="n">
        <x:f>B13*'Inputs'!$B$28</x:f>
        <x:v>0</x:v>
      </x:c>
      <x:c r="C16" s="19" t="n">
        <x:f>C13*'Inputs'!$B$28</x:f>
        <x:v>7.5600000000000005</x:v>
      </x:c>
      <x:c r="D16" s="19" t="n">
        <x:f>D13*'Inputs'!$B$28</x:f>
        <x:v>3.6397000000000004</x:v>
      </x:c>
      <x:c r="E16" s="19" t="n">
        <x:f>E13*'Inputs'!$B$28</x:f>
        <x:v>11.1997</x:v>
      </x:c>
      <x:c r="F16" s="19" t="n">
        <x:f>F13*'Inputs'!$B$28</x:f>
        <x:v>14.839400000000001</x:v>
      </x:c>
      <x:c r="G16" s="19" t="n">
        <x:f>G13*'Inputs'!$B$28</x:f>
        <x:v>18.4791</x:v>
      </x:c>
      <x:c r="H16" s="19" t="n">
        <x:f>H13*'Inputs'!$B$28</x:f>
        <x:v>22.1188</x:v>
      </x:c>
      <x:c r="I16" s="19" t="n">
        <x:f>I13*'Inputs'!$B$28</x:f>
        <x:v>25.758499999999998</x:v>
      </x:c>
      <x:c r="J16" s="19" t="n">
        <x:f>J13*'Inputs'!$B$28</x:f>
        <x:v>29.398200000000003</x:v>
      </x:c>
      <x:c r="K16" s="19" t="n">
        <x:f>K13*'Inputs'!$B$28</x:f>
        <x:v>33.0379</x:v>
      </x:c>
      <x:c r="L16" s="19" t="n">
        <x:f>L13*'Inputs'!$B$28</x:f>
        <x:v>36.677600000000005</x:v>
      </x:c>
      <x:c r="M16" s="19" t="n">
        <x:f>M13*'Inputs'!$B$28</x:f>
        <x:v>40.3173</x:v>
      </x:c>
      <x:c r="N16" s="30" t="n">
        <x:f>SUM(B16:M16)</x:f>
        <x:v>243.02620000000002</x:v>
      </x:c>
    </x:row>
    <x:row r="17" ht="21" customHeight="1">
      <x:c r="A17" s="1" t="str">
        <x:v>Paid customer support</x:v>
      </x:c>
      <x:c r="B17" s="19" t="n">
        <x:f>B6*'Inputs'!$B$30*'Inputs'!$B$32</x:f>
        <x:v>0</x:v>
      </x:c>
      <x:c r="C17" s="19" t="n">
        <x:f>C6*'Inputs'!$B$30*'Inputs'!$B$32</x:f>
        <x:v>22.5</x:v>
      </x:c>
      <x:c r="D17" s="19" t="n">
        <x:f>D6*'Inputs'!$B$30*'Inputs'!$B$32</x:f>
        <x:v>22.5</x:v>
      </x:c>
      <x:c r="E17" s="19" t="n">
        <x:f>E6*'Inputs'!$B$30*'Inputs'!$B$32</x:f>
        <x:v>45</x:v>
      </x:c>
      <x:c r="F17" s="19" t="n">
        <x:f>F6*'Inputs'!$B$30*'Inputs'!$B$32</x:f>
        <x:v>67.5</x:v>
      </x:c>
      <x:c r="G17" s="19" t="n">
        <x:f>G6*'Inputs'!$B$30*'Inputs'!$B$32</x:f>
        <x:v>90</x:v>
      </x:c>
      <x:c r="H17" s="19" t="n">
        <x:f>H6*'Inputs'!$B$30*'Inputs'!$B$32</x:f>
        <x:v>112.5</x:v>
      </x:c>
      <x:c r="I17" s="19" t="n">
        <x:f>I6*'Inputs'!$B$30*'Inputs'!$B$32</x:f>
        <x:v>135</x:v>
      </x:c>
      <x:c r="J17" s="19" t="n">
        <x:f>J6*'Inputs'!$B$30*'Inputs'!$B$32</x:f>
        <x:v>157.5</x:v>
      </x:c>
      <x:c r="K17" s="19" t="n">
        <x:f>K6*'Inputs'!$B$30*'Inputs'!$B$32</x:f>
        <x:v>180</x:v>
      </x:c>
      <x:c r="L17" s="19" t="n">
        <x:f>L6*'Inputs'!$B$30*'Inputs'!$B$32</x:f>
        <x:v>202.5</x:v>
      </x:c>
      <x:c r="M17" s="19" t="n">
        <x:f>M6*'Inputs'!$B$30*'Inputs'!$B$32</x:f>
        <x:v>225</x:v>
      </x:c>
      <x:c r="N17" s="30" t="n">
        <x:f>SUM(B17:M17)</x:f>
        <x:v>1260</x:v>
      </x:c>
    </x:row>
    <x:row r="18" ht="21" customHeight="1">
      <x:c r="A18" s="1" t="str">
        <x:v>Paid onboarding</x:v>
      </x:c>
      <x:c r="B18" s="19" t="n">
        <x:f>B7*'Inputs'!$B$31*'Inputs'!$B$32</x:f>
        <x:v>0</x:v>
      </x:c>
      <x:c r="C18" s="19" t="n">
        <x:f>C7*'Inputs'!$B$31*'Inputs'!$B$32</x:f>
        <x:v>90</x:v>
      </x:c>
      <x:c r="D18" s="19" t="n">
        <x:f>D7*'Inputs'!$B$31*'Inputs'!$B$32</x:f>
        <x:v>1.3499999999999999</x:v>
      </x:c>
      <x:c r="E18" s="19" t="n">
        <x:f>E7*'Inputs'!$B$31*'Inputs'!$B$32</x:f>
        <x:v>91.35</x:v>
      </x:c>
      <x:c r="F18" s="19" t="n">
        <x:f>F7*'Inputs'!$B$31*'Inputs'!$B$32</x:f>
        <x:v>92.7</x:v>
      </x:c>
      <x:c r="G18" s="19" t="n">
        <x:f>G7*'Inputs'!$B$31*'Inputs'!$B$32</x:f>
        <x:v>94.05</x:v>
      </x:c>
      <x:c r="H18" s="19" t="n">
        <x:f>H7*'Inputs'!$B$31*'Inputs'!$B$32</x:f>
        <x:v>95.4</x:v>
      </x:c>
      <x:c r="I18" s="19" t="n">
        <x:f>I7*'Inputs'!$B$31*'Inputs'!$B$32</x:f>
        <x:v>96.75</x:v>
      </x:c>
      <x:c r="J18" s="19" t="n">
        <x:f>J7*'Inputs'!$B$31*'Inputs'!$B$32</x:f>
        <x:v>98.10000000000001</x:v>
      </x:c>
      <x:c r="K18" s="19" t="n">
        <x:f>K7*'Inputs'!$B$31*'Inputs'!$B$32</x:f>
        <x:v>99.45</x:v>
      </x:c>
      <x:c r="L18" s="19" t="n">
        <x:f>L7*'Inputs'!$B$31*'Inputs'!$B$32</x:f>
        <x:v>100.80000000000001</x:v>
      </x:c>
      <x:c r="M18" s="19" t="n">
        <x:f>M7*'Inputs'!$B$31*'Inputs'!$B$32</x:f>
        <x:v>102.15</x:v>
      </x:c>
      <x:c r="N18" s="30" t="n">
        <x:f>SUM(B18:M18)</x:f>
        <x:v>962.1</x:v>
      </x:c>
    </x:row>
    <x:row r="19" ht="21" customHeight="1">
      <x:c r="A19" s="1" t="str">
        <x:v>Fixed infrastructure</x:v>
      </x:c>
      <x:c r="B19" s="19" t="n">
        <x:f>'Inputs'!B53</x:f>
        <x:v>200</x:v>
      </x:c>
      <x:c r="C19" s="19" t="n">
        <x:f>'Inputs'!C53</x:f>
        <x:v>200</x:v>
      </x:c>
      <x:c r="D19" s="19" t="n">
        <x:f>'Inputs'!D53</x:f>
        <x:v>200</x:v>
      </x:c>
      <x:c r="E19" s="19" t="n">
        <x:f>'Inputs'!E53</x:f>
        <x:v>200</x:v>
      </x:c>
      <x:c r="F19" s="19" t="n">
        <x:f>'Inputs'!F53</x:f>
        <x:v>200</x:v>
      </x:c>
      <x:c r="G19" s="19" t="n">
        <x:f>'Inputs'!G53</x:f>
        <x:v>200</x:v>
      </x:c>
      <x:c r="H19" s="19" t="n">
        <x:f>'Inputs'!H53</x:f>
        <x:v>200</x:v>
      </x:c>
      <x:c r="I19" s="19" t="n">
        <x:f>'Inputs'!I53</x:f>
        <x:v>200</x:v>
      </x:c>
      <x:c r="J19" s="19" t="n">
        <x:f>'Inputs'!J53</x:f>
        <x:v>200</x:v>
      </x:c>
      <x:c r="K19" s="19" t="n">
        <x:f>'Inputs'!K53</x:f>
        <x:v>200</x:v>
      </x:c>
      <x:c r="L19" s="19" t="n">
        <x:f>'Inputs'!L53</x:f>
        <x:v>200</x:v>
      </x:c>
      <x:c r="M19" s="19" t="n">
        <x:f>'Inputs'!M53</x:f>
        <x:v>200</x:v>
      </x:c>
      <x:c r="N19" s="30" t="n">
        <x:f>SUM(B19:M19)</x:f>
        <x:v>2400</x:v>
      </x:c>
    </x:row>
    <x:row r="20" ht="21" customHeight="1">
      <x:c r="A20" s="1" t="str">
        <x:v>Software and monitoring</x:v>
      </x:c>
      <x:c r="B20" s="19" t="n">
        <x:f>'Inputs'!B54</x:f>
        <x:v>150</x:v>
      </x:c>
      <x:c r="C20" s="19" t="n">
        <x:f>'Inputs'!C54</x:f>
        <x:v>150</x:v>
      </x:c>
      <x:c r="D20" s="19" t="n">
        <x:f>'Inputs'!D54</x:f>
        <x:v>150</x:v>
      </x:c>
      <x:c r="E20" s="19" t="n">
        <x:f>'Inputs'!E54</x:f>
        <x:v>150</x:v>
      </x:c>
      <x:c r="F20" s="19" t="n">
        <x:f>'Inputs'!F54</x:f>
        <x:v>150</x:v>
      </x:c>
      <x:c r="G20" s="19" t="n">
        <x:f>'Inputs'!G54</x:f>
        <x:v>150</x:v>
      </x:c>
      <x:c r="H20" s="19" t="n">
        <x:f>'Inputs'!H54</x:f>
        <x:v>150</x:v>
      </x:c>
      <x:c r="I20" s="19" t="n">
        <x:f>'Inputs'!I54</x:f>
        <x:v>150</x:v>
      </x:c>
      <x:c r="J20" s="19" t="n">
        <x:f>'Inputs'!J54</x:f>
        <x:v>150</x:v>
      </x:c>
      <x:c r="K20" s="19" t="n">
        <x:f>'Inputs'!K54</x:f>
        <x:v>150</x:v>
      </x:c>
      <x:c r="L20" s="19" t="n">
        <x:f>'Inputs'!L54</x:f>
        <x:v>150</x:v>
      </x:c>
      <x:c r="M20" s="19" t="n">
        <x:f>'Inputs'!M54</x:f>
        <x:v>150</x:v>
      </x:c>
      <x:c r="N20" s="30" t="n">
        <x:f>SUM(B20:M20)</x:f>
        <x:v>1800</x:v>
      </x:c>
    </x:row>
    <x:row r="21" ht="21" customHeight="1">
      <x:c r="A21" s="1" t="str">
        <x:v>Marketing and acquisition</x:v>
      </x:c>
      <x:c r="B21" s="19" t="n">
        <x:f>'Inputs'!B55</x:f>
        <x:v>500</x:v>
      </x:c>
      <x:c r="C21" s="19" t="n">
        <x:f>'Inputs'!C55</x:f>
        <x:v>500</x:v>
      </x:c>
      <x:c r="D21" s="19" t="n">
        <x:f>'Inputs'!D55</x:f>
        <x:v>500</x:v>
      </x:c>
      <x:c r="E21" s="19" t="n">
        <x:f>'Inputs'!E55</x:f>
        <x:v>500</x:v>
      </x:c>
      <x:c r="F21" s="19" t="n">
        <x:f>'Inputs'!F55</x:f>
        <x:v>500</x:v>
      </x:c>
      <x:c r="G21" s="19" t="n">
        <x:f>'Inputs'!G55</x:f>
        <x:v>500</x:v>
      </x:c>
      <x:c r="H21" s="19" t="n">
        <x:f>'Inputs'!H55</x:f>
        <x:v>500</x:v>
      </x:c>
      <x:c r="I21" s="19" t="n">
        <x:f>'Inputs'!I55</x:f>
        <x:v>500</x:v>
      </x:c>
      <x:c r="J21" s="19" t="n">
        <x:f>'Inputs'!J55</x:f>
        <x:v>500</x:v>
      </x:c>
      <x:c r="K21" s="19" t="n">
        <x:f>'Inputs'!K55</x:f>
        <x:v>500</x:v>
      </x:c>
      <x:c r="L21" s="19" t="n">
        <x:f>'Inputs'!L55</x:f>
        <x:v>500</x:v>
      </x:c>
      <x:c r="M21" s="19" t="n">
        <x:f>'Inputs'!M55</x:f>
        <x:v>500</x:v>
      </x:c>
      <x:c r="N21" s="30" t="n">
        <x:f>SUM(B21:M21)</x:f>
        <x:v>6000</x:v>
      </x:c>
    </x:row>
    <x:row r="22" ht="21" customHeight="1">
      <x:c r="A22" s="1" t="str">
        <x:v>Contract development</x:v>
      </x:c>
      <x:c r="B22" s="19" t="n">
        <x:f>'Inputs'!B56</x:f>
        <x:v>2000</x:v>
      </x:c>
      <x:c r="C22" s="19" t="n">
        <x:f>'Inputs'!C56</x:f>
        <x:v>2000</x:v>
      </x:c>
      <x:c r="D22" s="19" t="n">
        <x:f>'Inputs'!D56</x:f>
        <x:v>2000</x:v>
      </x:c>
      <x:c r="E22" s="19" t="n">
        <x:f>'Inputs'!E56</x:f>
        <x:v>1000</x:v>
      </x:c>
      <x:c r="F22" s="19" t="n">
        <x:f>'Inputs'!F56</x:f>
        <x:v>1000</x:v>
      </x:c>
      <x:c r="G22" s="19" t="n">
        <x:f>'Inputs'!G56</x:f>
        <x:v>1000</x:v>
      </x:c>
      <x:c r="H22" s="19" t="n">
        <x:f>'Inputs'!H56</x:f>
        <x:v>1000</x:v>
      </x:c>
      <x:c r="I22" s="19" t="n">
        <x:f>'Inputs'!I56</x:f>
        <x:v>1000</x:v>
      </x:c>
      <x:c r="J22" s="19" t="n">
        <x:f>'Inputs'!J56</x:f>
        <x:v>500</x:v>
      </x:c>
      <x:c r="K22" s="19" t="n">
        <x:f>'Inputs'!K56</x:f>
        <x:v>500</x:v>
      </x:c>
      <x:c r="L22" s="19" t="n">
        <x:f>'Inputs'!L56</x:f>
        <x:v>0</x:v>
      </x:c>
      <x:c r="M22" s="19" t="n">
        <x:f>'Inputs'!M56</x:f>
        <x:v>0</x:v>
      </x:c>
      <x:c r="N22" s="30" t="n">
        <x:f>SUM(B22:M22)</x:f>
        <x:v>12000</x:v>
      </x:c>
    </x:row>
    <x:row r="23" ht="21" customHeight="1">
      <x:c r="A23" s="1" t="str">
        <x:v>Legal insurance accounting</x:v>
      </x:c>
      <x:c r="B23" s="19" t="n">
        <x:f>'Inputs'!B57</x:f>
        <x:v>250</x:v>
      </x:c>
      <x:c r="C23" s="19" t="n">
        <x:f>'Inputs'!C57</x:f>
        <x:v>250</x:v>
      </x:c>
      <x:c r="D23" s="19" t="n">
        <x:f>'Inputs'!D57</x:f>
        <x:v>250</x:v>
      </x:c>
      <x:c r="E23" s="19" t="n">
        <x:f>'Inputs'!E57</x:f>
        <x:v>250</x:v>
      </x:c>
      <x:c r="F23" s="19" t="n">
        <x:f>'Inputs'!F57</x:f>
        <x:v>250</x:v>
      </x:c>
      <x:c r="G23" s="19" t="n">
        <x:f>'Inputs'!G57</x:f>
        <x:v>250</x:v>
      </x:c>
      <x:c r="H23" s="19" t="n">
        <x:f>'Inputs'!H57</x:f>
        <x:v>250</x:v>
      </x:c>
      <x:c r="I23" s="19" t="n">
        <x:f>'Inputs'!I57</x:f>
        <x:v>250</x:v>
      </x:c>
      <x:c r="J23" s="19" t="n">
        <x:f>'Inputs'!J57</x:f>
        <x:v>250</x:v>
      </x:c>
      <x:c r="K23" s="19" t="n">
        <x:f>'Inputs'!K57</x:f>
        <x:v>250</x:v>
      </x:c>
      <x:c r="L23" s="19" t="n">
        <x:f>'Inputs'!L57</x:f>
        <x:v>250</x:v>
      </x:c>
      <x:c r="M23" s="19" t="n">
        <x:f>'Inputs'!M57</x:f>
        <x:v>250</x:v>
      </x:c>
      <x:c r="N23" s="30" t="n">
        <x:f>SUM(B23:M23)</x:f>
        <x:v>3000</x:v>
      </x:c>
    </x:row>
    <x:row r="24" ht="21" customHeight="1">
      <x:c r="A24" s="25" t="str">
        <x:v>Total cash cost excluding founder</x:v>
      </x:c>
      <x:c r="B24" s="26" t="n">
        <x:f>SUM(B14:B23)</x:f>
        <x:v>3100</x:v>
      </x:c>
      <x:c r="C24" s="26" t="n">
        <x:f>SUM(C14:C23)</x:f>
        <x:v>3261.21</x:v>
      </x:c>
      <x:c r="D24" s="26" t="n">
        <x:f>SUM(D14:D23)</x:f>
        <x:v>3158.8389500000003</x:v>
      </x:c>
      <x:c r="E24" s="26" t="n">
        <x:f>SUM(E14:E23)</x:f>
        <x:v>2320.04895</x:v>
      </x:c>
      <x:c r="F24" s="26" t="n">
        <x:f>SUM(F14:F23)</x:f>
        <x:v>2378.8878999999997</x:v>
      </x:c>
      <x:c r="G24" s="26" t="n">
        <x:f>SUM(G14:G23)</x:f>
        <x:v>2437.72685</x:v>
      </x:c>
      <x:c r="H24" s="26" t="n">
        <x:f>SUM(H14:H23)</x:f>
        <x:v>2496.5658</x:v>
      </x:c>
      <x:c r="I24" s="26" t="n">
        <x:f>SUM(I14:I23)</x:f>
        <x:v>2555.40475</x:v>
      </x:c>
      <x:c r="J24" s="26" t="n">
        <x:f>SUM(J14:J23)</x:f>
        <x:v>2114.2437</x:v>
      </x:c>
      <x:c r="K24" s="26" t="n">
        <x:f>SUM(K14:K23)</x:f>
        <x:v>2173.08265</x:v>
      </x:c>
      <x:c r="L24" s="26" t="n">
        <x:f>SUM(L14:L23)</x:f>
        <x:v>1731.9216</x:v>
      </x:c>
      <x:c r="M24" s="26" t="n">
        <x:f>SUM(M14:M23)</x:f>
        <x:v>1790.76055</x:v>
      </x:c>
      <x:c r="N24" s="31" t="n">
        <x:f>SUM(B24:M24)</x:f>
        <x:v>29518.691700000003</x:v>
      </x:c>
    </x:row>
    <x:row r="25" ht="21" customHeight="1">
      <x:c r="A25" s="25" t="str">
        <x:v>Operating result before founder</x:v>
      </x:c>
      <x:c r="B25" s="26" t="n">
        <x:f>B13-B24</x:f>
        <x:v>-3100</x:v>
      </x:c>
      <x:c r="C25" s="26" t="n">
        <x:f>C13-C24</x:f>
        <x:v>-2883.21</x:v>
      </x:c>
      <x:c r="D25" s="26" t="n">
        <x:f>D13-D24</x:f>
        <x:v>-2976.85395</x:v>
      </x:c>
      <x:c r="E25" s="26" t="n">
        <x:f>E13-E24</x:f>
        <x:v>-1760.0639499999997</x:v>
      </x:c>
      <x:c r="F25" s="26" t="n">
        <x:f>F13-F24</x:f>
        <x:v>-1636.9178999999997</x:v>
      </x:c>
      <x:c r="G25" s="26" t="n">
        <x:f>G13-G24</x:f>
        <x:v>-1513.77185</x:v>
      </x:c>
      <x:c r="H25" s="26" t="n">
        <x:f>H13-H24</x:f>
        <x:v>-1390.6257999999998</x:v>
      </x:c>
      <x:c r="I25" s="26" t="n">
        <x:f>I13-I24</x:f>
        <x:v>-1267.4797500000002</x:v>
      </x:c>
      <x:c r="J25" s="26" t="n">
        <x:f>J13-J24</x:f>
        <x:v>-644.3336999999999</x:v>
      </x:c>
      <x:c r="K25" s="26" t="n">
        <x:f>K13-K24</x:f>
        <x:v>-521.1876499999998</x:v>
      </x:c>
      <x:c r="L25" s="26" t="n">
        <x:f>L13-L24</x:f>
        <x:v>101.95840000000021</x:v>
      </x:c>
      <x:c r="M25" s="26" t="n">
        <x:f>M13-M24</x:f>
        <x:v>225.10445000000004</x:v>
      </x:c>
      <x:c r="N25" s="31" t="n">
        <x:f>SUM(B25:M25)</x:f>
        <x:v>-17367.3817</x:v>
      </x:c>
    </x:row>
    <x:row r="26" ht="21" customHeight="1">
      <x:c r="A26" s="1" t="str">
        <x:v>Founder labor if paid</x:v>
      </x:c>
      <x:c r="B26" s="19" t="n">
        <x:f>'Inputs'!B58</x:f>
        <x:v>5000</x:v>
      </x:c>
      <x:c r="C26" s="19" t="n">
        <x:f>'Inputs'!C58</x:f>
        <x:v>5000</x:v>
      </x:c>
      <x:c r="D26" s="19" t="n">
        <x:f>'Inputs'!D58</x:f>
        <x:v>5000</x:v>
      </x:c>
      <x:c r="E26" s="19" t="n">
        <x:f>'Inputs'!E58</x:f>
        <x:v>5000</x:v>
      </x:c>
      <x:c r="F26" s="19" t="n">
        <x:f>'Inputs'!F58</x:f>
        <x:v>5000</x:v>
      </x:c>
      <x:c r="G26" s="19" t="n">
        <x:f>'Inputs'!G58</x:f>
        <x:v>5000</x:v>
      </x:c>
      <x:c r="H26" s="19" t="n">
        <x:f>'Inputs'!H58</x:f>
        <x:v>5000</x:v>
      </x:c>
      <x:c r="I26" s="19" t="n">
        <x:f>'Inputs'!I58</x:f>
        <x:v>5000</x:v>
      </x:c>
      <x:c r="J26" s="19" t="n">
        <x:f>'Inputs'!J58</x:f>
        <x:v>5000</x:v>
      </x:c>
      <x:c r="K26" s="19" t="n">
        <x:f>'Inputs'!K58</x:f>
        <x:v>5000</x:v>
      </x:c>
      <x:c r="L26" s="19" t="n">
        <x:f>'Inputs'!L58</x:f>
        <x:v>5000</x:v>
      </x:c>
      <x:c r="M26" s="19" t="n">
        <x:f>'Inputs'!M58</x:f>
        <x:v>5000</x:v>
      </x:c>
      <x:c r="N26" s="30" t="n">
        <x:f>SUM(B26:M26)</x:f>
        <x:v>60000</x:v>
      </x:c>
    </x:row>
    <x:row r="27" ht="21" customHeight="1">
      <x:c r="A27" s="25" t="str">
        <x:v>Result including founder labor</x:v>
      </x:c>
      <x:c r="B27" s="26" t="n">
        <x:f>B25-B26</x:f>
        <x:v>-8100</x:v>
      </x:c>
      <x:c r="C27" s="26" t="n">
        <x:f>C25-C26</x:f>
        <x:v>-7883.21</x:v>
      </x:c>
      <x:c r="D27" s="26" t="n">
        <x:f>D25-D26</x:f>
        <x:v>-7976.853950000001</x:v>
      </x:c>
      <x:c r="E27" s="26" t="n">
        <x:f>E25-E26</x:f>
        <x:v>-6760.06395</x:v>
      </x:c>
      <x:c r="F27" s="26" t="n">
        <x:f>F25-F26</x:f>
        <x:v>-6636.9178999999995</x:v>
      </x:c>
      <x:c r="G27" s="26" t="n">
        <x:f>G25-G26</x:f>
        <x:v>-6513.77185</x:v>
      </x:c>
      <x:c r="H27" s="26" t="n">
        <x:f>H25-H26</x:f>
        <x:v>-6390.6258</x:v>
      </x:c>
      <x:c r="I27" s="26" t="n">
        <x:f>I25-I26</x:f>
        <x:v>-6267.47975</x:v>
      </x:c>
      <x:c r="J27" s="26" t="n">
        <x:f>J25-J26</x:f>
        <x:v>-5644.3337</x:v>
      </x:c>
      <x:c r="K27" s="26" t="n">
        <x:f>K25-K26</x:f>
        <x:v>-5521.18765</x:v>
      </x:c>
      <x:c r="L27" s="26" t="n">
        <x:f>L25-L26</x:f>
        <x:v>-4898.0416</x:v>
      </x:c>
      <x:c r="M27" s="26" t="n">
        <x:f>M25-M26</x:f>
        <x:v>-4774.89555</x:v>
      </x:c>
      <x:c r="N27" s="31" t="n">
        <x:f>SUM(B27:M27)</x:f>
        <x:v>-77367.3817</x:v>
      </x:c>
    </x:row>
    <x:row r="28" ht="21" customHeight="1">
      <x:c r="A28" s="1" t="str">
        <x:v>Cumulative operating result</x:v>
      </x:c>
      <x:c r="B28" s="19" t="n">
        <x:f>B25</x:f>
        <x:v>-3100</x:v>
      </x:c>
      <x:c r="C28" s="19" t="n">
        <x:f>B28+C25</x:f>
        <x:v>-5983.21</x:v>
      </x:c>
      <x:c r="D28" s="19" t="n">
        <x:f>C28+D25</x:f>
        <x:v>-8960.06395</x:v>
      </x:c>
      <x:c r="E28" s="19" t="n">
        <x:f>D28+E25</x:f>
        <x:v>-10720.1279</x:v>
      </x:c>
      <x:c r="F28" s="19" t="n">
        <x:f>E28+F25</x:f>
        <x:v>-12357.0458</x:v>
      </x:c>
      <x:c r="G28" s="19" t="n">
        <x:f>F28+G25</x:f>
        <x:v>-13870.81765</x:v>
      </x:c>
      <x:c r="H28" s="19" t="n">
        <x:f>G28+H25</x:f>
        <x:v>-15261.44345</x:v>
      </x:c>
      <x:c r="I28" s="19" t="n">
        <x:f>H28+I25</x:f>
        <x:v>-16528.9232</x:v>
      </x:c>
      <x:c r="J28" s="19" t="n">
        <x:f>I28+J25</x:f>
        <x:v>-17173.2569</x:v>
      </x:c>
      <x:c r="K28" s="19" t="n">
        <x:f>J28+K25</x:f>
        <x:v>-17694.44455</x:v>
      </x:c>
      <x:c r="L28" s="19" t="n">
        <x:f>K28+L25</x:f>
        <x:v>-17592.48615</x:v>
      </x:c>
      <x:c r="M28" s="19" t="n">
        <x:f>L28+M25</x:f>
        <x:v>-17367.3817</x:v>
      </x:c>
      <x:c r="N28" s="30" t="n">
        <x:f>M28</x:f>
        <x:v>-17367.3817</x:v>
      </x:c>
    </x:row>
    <x:row r="29" ht="21" customHeight="1">
      <x:c r="A29" s="1" t="str">
        <x:v>Receipts after collection delay</x:v>
      </x:c>
      <x:c r="B29" s="19" t="n">
        <x:f>IF(1&lt;='Inputs'!$B$33,0,INDEX($B$13:$M$13,1,1-'Inputs'!$B$33))</x:f>
        <x:v>0</x:v>
      </x:c>
      <x:c r="C29" s="19" t="n">
        <x:f>IF(2&lt;='Inputs'!$B$33,0,INDEX($B$13:$M$13,1,2-'Inputs'!$B$33))</x:f>
        <x:v>378</x:v>
      </x:c>
      <x:c r="D29" s="19" t="n">
        <x:f>IF(3&lt;='Inputs'!$B$33,0,INDEX($B$13:$M$13,1,3-'Inputs'!$B$33))</x:f>
        <x:v>181.985</x:v>
      </x:c>
      <x:c r="E29" s="19" t="n">
        <x:f>IF(4&lt;='Inputs'!$B$33,0,INDEX($B$13:$M$13,1,4-'Inputs'!$B$33))</x:f>
        <x:v>559.985</x:v>
      </x:c>
      <x:c r="F29" s="19" t="n">
        <x:f>IF(5&lt;='Inputs'!$B$33,0,INDEX($B$13:$M$13,1,5-'Inputs'!$B$33))</x:f>
        <x:v>741.97</x:v>
      </x:c>
      <x:c r="G29" s="19" t="n">
        <x:f>IF(6&lt;='Inputs'!$B$33,0,INDEX($B$13:$M$13,1,6-'Inputs'!$B$33))</x:f>
        <x:v>923.9549999999999</x:v>
      </x:c>
      <x:c r="H29" s="19" t="n">
        <x:f>IF(7&lt;='Inputs'!$B$33,0,INDEX($B$13:$M$13,1,7-'Inputs'!$B$33))</x:f>
        <x:v>1105.94</x:v>
      </x:c>
      <x:c r="I29" s="19" t="n">
        <x:f>IF(8&lt;='Inputs'!$B$33,0,INDEX($B$13:$M$13,1,8-'Inputs'!$B$33))</x:f>
        <x:v>1287.925</x:v>
      </x:c>
      <x:c r="J29" s="19" t="n">
        <x:f>IF(9&lt;='Inputs'!$B$33,0,INDEX($B$13:$M$13,1,9-'Inputs'!$B$33))</x:f>
        <x:v>1469.91</x:v>
      </x:c>
      <x:c r="K29" s="19" t="n">
        <x:f>IF(10&lt;='Inputs'!$B$33,0,INDEX($B$13:$M$13,1,10-'Inputs'!$B$33))</x:f>
        <x:v>1651.895</x:v>
      </x:c>
      <x:c r="L29" s="19" t="n">
        <x:f>IF(11&lt;='Inputs'!$B$33,0,INDEX($B$13:$M$13,1,11-'Inputs'!$B$33))</x:f>
        <x:v>1833.88</x:v>
      </x:c>
      <x:c r="M29" s="19" t="n">
        <x:f>IF(12&lt;='Inputs'!$B$33,0,INDEX($B$13:$M$13,1,12-'Inputs'!$B$33))</x:f>
        <x:v>2015.865</x:v>
      </x:c>
      <x:c r="N29" s="30" t="n">
        <x:f>SUM(B29:M29)</x:f>
        <x:v>12151.31</x:v>
      </x:c>
    </x:row>
    <x:row r="30" ht="21" customHeight="1">
      <x:c r="A30" s="1" t="str">
        <x:v>Cash flow after collection delay</x:v>
      </x:c>
      <x:c r="B30" s="19" t="n">
        <x:f>B29-B24</x:f>
        <x:v>-3100</x:v>
      </x:c>
      <x:c r="C30" s="19" t="n">
        <x:f>C29-C24</x:f>
        <x:v>-2883.21</x:v>
      </x:c>
      <x:c r="D30" s="19" t="n">
        <x:f>D29-D24</x:f>
        <x:v>-2976.85395</x:v>
      </x:c>
      <x:c r="E30" s="19" t="n">
        <x:f>E29-E24</x:f>
        <x:v>-1760.0639499999997</x:v>
      </x:c>
      <x:c r="F30" s="19" t="n">
        <x:f>F29-F24</x:f>
        <x:v>-1636.9178999999997</x:v>
      </x:c>
      <x:c r="G30" s="19" t="n">
        <x:f>G29-G24</x:f>
        <x:v>-1513.77185</x:v>
      </x:c>
      <x:c r="H30" s="19" t="n">
        <x:f>H29-H24</x:f>
        <x:v>-1390.6257999999998</x:v>
      </x:c>
      <x:c r="I30" s="19" t="n">
        <x:f>I29-I24</x:f>
        <x:v>-1267.4797500000002</x:v>
      </x:c>
      <x:c r="J30" s="19" t="n">
        <x:f>J29-J24</x:f>
        <x:v>-644.3336999999999</x:v>
      </x:c>
      <x:c r="K30" s="19" t="n">
        <x:f>K29-K24</x:f>
        <x:v>-521.1876499999998</x:v>
      </x:c>
      <x:c r="L30" s="19" t="n">
        <x:f>L29-L24</x:f>
        <x:v>101.95840000000021</x:v>
      </x:c>
      <x:c r="M30" s="19" t="n">
        <x:f>M29-M24</x:f>
        <x:v>225.10445000000004</x:v>
      </x:c>
      <x:c r="N30" s="30" t="n">
        <x:f>SUM(B30:M30)</x:f>
        <x:v>-17367.3817</x:v>
      </x:c>
    </x:row>
    <x:row r="31" ht="21" customHeight="1">
      <x:c r="A31" s="25" t="str">
        <x:v>Cumulative cash excluding founder</x:v>
      </x:c>
      <x:c r="B31" s="26" t="n">
        <x:f>B30</x:f>
        <x:v>-3100</x:v>
      </x:c>
      <x:c r="C31" s="26" t="n">
        <x:f>B31+C30</x:f>
        <x:v>-5983.21</x:v>
      </x:c>
      <x:c r="D31" s="26" t="n">
        <x:f>C31+D30</x:f>
        <x:v>-8960.06395</x:v>
      </x:c>
      <x:c r="E31" s="26" t="n">
        <x:f>D31+E30</x:f>
        <x:v>-10720.1279</x:v>
      </x:c>
      <x:c r="F31" s="26" t="n">
        <x:f>E31+F30</x:f>
        <x:v>-12357.0458</x:v>
      </x:c>
      <x:c r="G31" s="26" t="n">
        <x:f>F31+G30</x:f>
        <x:v>-13870.81765</x:v>
      </x:c>
      <x:c r="H31" s="26" t="n">
        <x:f>G31+H30</x:f>
        <x:v>-15261.44345</x:v>
      </x:c>
      <x:c r="I31" s="26" t="n">
        <x:f>H31+I30</x:f>
        <x:v>-16528.9232</x:v>
      </x:c>
      <x:c r="J31" s="26" t="n">
        <x:f>I31+J30</x:f>
        <x:v>-17173.2569</x:v>
      </x:c>
      <x:c r="K31" s="26" t="n">
        <x:f>J31+K30</x:f>
        <x:v>-17694.44455</x:v>
      </x:c>
      <x:c r="L31" s="26" t="n">
        <x:f>K31+L30</x:f>
        <x:v>-17592.48615</x:v>
      </x:c>
      <x:c r="M31" s="26" t="n">
        <x:f>L31+M30</x:f>
        <x:v>-17367.3817</x:v>
      </x:c>
      <x:c r="N31" s="31" t="n">
        <x:f>M31</x:f>
        <x:v>-17367.3817</x:v>
      </x:c>
    </x:row>
    <x:row r="32" ht="21" customHeight="1">
      <x:c r="A32" s="25" t="str">
        <x:v>Cumulative cash including founder</x:v>
      </x:c>
      <x:c r="B32" s="26" t="n">
        <x:f>B30-B26</x:f>
        <x:v>-8100</x:v>
      </x:c>
      <x:c r="C32" s="26" t="n">
        <x:f>B32+C30-C26</x:f>
        <x:v>-15983.21</x:v>
      </x:c>
      <x:c r="D32" s="26" t="n">
        <x:f>C32+D30-D26</x:f>
        <x:v>-23960.06395</x:v>
      </x:c>
      <x:c r="E32" s="26" t="n">
        <x:f>D32+E30-E26</x:f>
        <x:v>-30720.1279</x:v>
      </x:c>
      <x:c r="F32" s="26" t="n">
        <x:f>E32+F30-F26</x:f>
        <x:v>-37357.0458</x:v>
      </x:c>
      <x:c r="G32" s="26" t="n">
        <x:f>F32+G30-G26</x:f>
        <x:v>-43870.81765</x:v>
      </x:c>
      <x:c r="H32" s="26" t="n">
        <x:f>G32+H30-H26</x:f>
        <x:v>-50261.44345</x:v>
      </x:c>
      <x:c r="I32" s="26" t="n">
        <x:f>H32+I30-I26</x:f>
        <x:v>-56528.9232</x:v>
      </x:c>
      <x:c r="J32" s="26" t="n">
        <x:f>I32+J30-J26</x:f>
        <x:v>-62173.2569</x:v>
      </x:c>
      <x:c r="K32" s="26" t="n">
        <x:f>J32+K30-K26</x:f>
        <x:v>-67694.44455</x:v>
      </x:c>
      <x:c r="L32" s="26" t="n">
        <x:f>K32+L30-L26</x:f>
        <x:v>-72592.48615</x:v>
      </x:c>
      <x:c r="M32" s="26" t="n">
        <x:f>L32+M30-M26</x:f>
        <x:v>-77367.3817</x:v>
      </x:c>
      <x:c r="N32" s="31" t="n">
        <x:f>M32</x:f>
        <x:v>-77367.3817</x:v>
      </x:c>
    </x:row>
    <x:row r="33" ht="21" customHeight="1">
      <x:c r="A33" s="1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30"/>
    </x:row>
    <x:row r="34" ht="21" customHeight="1">
      <x:c r="A34" s="25" t="str">
        <x:v>Delivery contribution before fixed costs</x:v>
      </x:c>
      <x:c r="B34" s="26" t="n">
        <x:f>B13-SUM(B14:B18)</x:f>
        <x:v>0</x:v>
      </x:c>
      <x:c r="C34" s="26" t="n">
        <x:f>C13-SUM(C14:C18)</x:f>
        <x:v>216.79</x:v>
      </x:c>
      <x:c r="D34" s="26" t="n">
        <x:f>D13-SUM(D14:D18)</x:f>
        <x:v>123.14605</x:v>
      </x:c>
      <x:c r="E34" s="26" t="n">
        <x:f>E13-SUM(E14:E18)</x:f>
        <x:v>339.93605</x:v>
      </x:c>
      <x:c r="F34" s="26" t="n">
        <x:f>F13-SUM(F14:F18)</x:f>
        <x:v>463.0821</x:v>
      </x:c>
      <x:c r="G34" s="26" t="n">
        <x:f>G13-SUM(G14:G18)</x:f>
        <x:v>586.2281499999999</x:v>
      </x:c>
      <x:c r="H34" s="26" t="n">
        <x:f>H13-SUM(H14:H18)</x:f>
        <x:v>709.3742000000001</x:v>
      </x:c>
      <x:c r="I34" s="26" t="n">
        <x:f>I13-SUM(I14:I18)</x:f>
        <x:v>832.5202499999999</x:v>
      </x:c>
      <x:c r="J34" s="26" t="n">
        <x:f>J13-SUM(J14:J18)</x:f>
        <x:v>955.6663000000001</x:v>
      </x:c>
      <x:c r="K34" s="26" t="n">
        <x:f>K13-SUM(K14:K18)</x:f>
        <x:v>1078.8123500000002</x:v>
      </x:c>
      <x:c r="L34" s="26" t="n">
        <x:f>L13-SUM(L14:L18)</x:f>
        <x:v>1201.9584000000002</x:v>
      </x:c>
      <x:c r="M34" s="26" t="n">
        <x:f>M13-SUM(M14:M18)</x:f>
        <x:v>1325.10445</x:v>
      </x:c>
      <x:c r="N34" s="31" t="n">
        <x:f>SUM(B34:M34)</x:f>
        <x:v>7832.618300000001</x:v>
      </x:c>
    </x:row>
    <x:row r="35" ht="21" customHeight="1">
      <x:c r="A35" s="1" t="str">
        <x:v>Delivery contribution percent</x:v>
      </x:c>
      <x:c r="B35" s="22" t="str">
        <x:f>IF(B13=0,"",B34/B13)</x:f>
      </x:c>
      <x:c r="C35" s="22" t="n">
        <x:f>IF(C13=0,"",C34/C13)</x:f>
        <x:v>0.5735185185185185</x:v>
      </x:c>
      <x:c r="D35" s="22" t="n">
        <x:f>IF(D13=0,"",D34/D13)</x:f>
        <x:v>0.6766824188806769</x:v>
      </x:c>
      <x:c r="E35" s="22" t="n">
        <x:f>IF(E13=0,"",E34/E13)</x:f>
        <x:v>0.6070449208460941</x:v>
      </x:c>
      <x:c r="F35" s="22" t="n">
        <x:f>IF(F13=0,"",F34/F13)</x:f>
        <x:v>0.6241250993975498</x:v>
      </x:c>
      <x:c r="G35" s="22" t="n">
        <x:f>IF(G13=0,"",G34/G13)</x:f>
        <x:v>0.634476949634993</x:v>
      </x:c>
      <x:c r="H35" s="22" t="n">
        <x:f>IF(H13=0,"",H34/H13)</x:f>
        <x:v>0.641421957791562</x:v>
      </x:c>
      <x:c r="I35" s="22" t="n">
        <x:f>IF(I13=0,"",I34/I13)</x:f>
        <x:v>0.6464042937282838</x:v>
      </x:c>
      <x:c r="J35" s="22" t="n">
        <x:f>IF(J13=0,"",J34/J13)</x:f>
        <x:v>0.6501529345334068</x:v>
      </x:c>
      <x:c r="K35" s="22" t="n">
        <x:f>IF(K13=0,"",K34/K13)</x:f>
        <x:v>0.6530756192130857</x:v>
      </x:c>
      <x:c r="L35" s="22" t="n">
        <x:f>IF(L13=0,"",L34/L13)</x:f>
        <x:v>0.6554182389251206</x:v>
      </x:c>
      <x:c r="M35" s="22" t="n">
        <x:f>IF(M13=0,"",M34/M13)</x:f>
        <x:v>0.6573378921703587</x:v>
      </x:c>
      <x:c r="N35" s="32" t="n">
        <x:f>N34/N13</x:f>
        <x:v>0.6445904433349162</x:v>
      </x:c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5" hidden="0" customWidth="1"/>
  </x:cols>
  <x:sheetData>
    <x:row r="1" ht="21" customHeight="1">
      <x:c r="A1" s="2" t="str">
        <x:v>100 institutions in year one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1" t="str">
        <x:v>USD. Conditional monthly targets. Video, top-ups and professor sales excluded.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1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9" t="str">
        <x:v>Projection month</x:v>
      </x:c>
      <x:c r="B5" s="18" t="n">
        <x:f>EDATE('Inputs'!$B$4,0)</x:f>
        <x:v>46327</x:v>
      </x:c>
      <x:c r="C5" s="18" t="n">
        <x:f>EDATE('Inputs'!$B$4,1)</x:f>
        <x:v>46357</x:v>
      </x:c>
      <x:c r="D5" s="18" t="n">
        <x:f>EDATE('Inputs'!$B$4,2)</x:f>
        <x:v>46388</x:v>
      </x:c>
      <x:c r="E5" s="18" t="n">
        <x:f>EDATE('Inputs'!$B$4,3)</x:f>
        <x:v>46419</x:v>
      </x:c>
      <x:c r="F5" s="18" t="n">
        <x:f>EDATE('Inputs'!$B$4,4)</x:f>
        <x:v>46447</x:v>
      </x:c>
      <x:c r="G5" s="18" t="n">
        <x:f>EDATE('Inputs'!$B$4,5)</x:f>
        <x:v>46478</x:v>
      </x:c>
      <x:c r="H5" s="18" t="n">
        <x:f>EDATE('Inputs'!$B$4,6)</x:f>
        <x:v>46508</x:v>
      </x:c>
      <x:c r="I5" s="18" t="n">
        <x:f>EDATE('Inputs'!$B$4,7)</x:f>
        <x:v>46539</x:v>
      </x:c>
      <x:c r="J5" s="18" t="n">
        <x:f>EDATE('Inputs'!$B$4,8)</x:f>
        <x:v>46569</x:v>
      </x:c>
      <x:c r="K5" s="18" t="n">
        <x:f>EDATE('Inputs'!$B$4,9)</x:f>
        <x:v>46600</x:v>
      </x:c>
      <x:c r="L5" s="18" t="n">
        <x:f>EDATE('Inputs'!$B$4,10)</x:f>
        <x:v>46631</x:v>
      </x:c>
      <x:c r="M5" s="18" t="n">
        <x:f>EDATE('Inputs'!$B$4,11)</x:f>
        <x:v>46661</x:v>
      </x:c>
      <x:c r="N5" s="9" t="str">
        <x:v>Year one</x:v>
      </x:c>
    </x:row>
    <x:row r="6" ht="21" customHeight="1">
      <x:c r="A6" s="1" t="str">
        <x:v>Active paying accounts</x:v>
      </x:c>
      <x:c r="B6" s="20" t="n">
        <x:f>'Inputs'!B40</x:f>
        <x:v>0</x:v>
      </x:c>
      <x:c r="C6" s="20" t="n">
        <x:f>'Inputs'!C40</x:f>
        <x:v>1</x:v>
      </x:c>
      <x:c r="D6" s="20" t="n">
        <x:f>'Inputs'!D40</x:f>
        <x:v>3</x:v>
      </x:c>
      <x:c r="E6" s="20" t="n">
        <x:f>'Inputs'!E40</x:f>
        <x:v>5</x:v>
      </x:c>
      <x:c r="F6" s="20" t="n">
        <x:f>'Inputs'!F40</x:f>
        <x:v>10</x:v>
      </x:c>
      <x:c r="G6" s="20" t="n">
        <x:f>'Inputs'!G40</x:f>
        <x:v>18</x:v>
      </x:c>
      <x:c r="H6" s="20" t="n">
        <x:f>'Inputs'!H40</x:f>
        <x:v>28</x:v>
      </x:c>
      <x:c r="I6" s="20" t="n">
        <x:f>'Inputs'!I40</x:f>
        <x:v>40</x:v>
      </x:c>
      <x:c r="J6" s="20" t="n">
        <x:f>'Inputs'!J40</x:f>
        <x:v>55</x:v>
      </x:c>
      <x:c r="K6" s="20" t="n">
        <x:f>'Inputs'!K40</x:f>
        <x:v>70</x:v>
      </x:c>
      <x:c r="L6" s="20" t="n">
        <x:f>'Inputs'!L40</x:f>
        <x:v>85</x:v>
      </x:c>
      <x:c r="M6" s="20" t="n">
        <x:f>'Inputs'!M40</x:f>
        <x:v>100</x:v>
      </x:c>
      <x:c r="N6" s="27" t="n">
        <x:f>M6</x:f>
        <x:v>100</x:v>
      </x:c>
    </x:row>
    <x:row r="7" ht="21" customHeight="1">
      <x:c r="A7" s="1" t="str">
        <x:v>Gross new accounts incl replacements</x:v>
      </x:c>
      <x:c r="B7" s="21" t="n">
        <x:f>B6</x:f>
        <x:v>0</x:v>
      </x:c>
      <x:c r="C7" s="21" t="n">
        <x:f>MAX(0,C6-B6+B6*'Inputs'!$B$29)</x:f>
        <x:v>1</x:v>
      </x:c>
      <x:c r="D7" s="21" t="n">
        <x:f>MAX(0,D6-C6+C6*'Inputs'!$B$29)</x:f>
        <x:v>2.015</x:v>
      </x:c>
      <x:c r="E7" s="21" t="n">
        <x:f>MAX(0,E6-D6+D6*'Inputs'!$B$29)</x:f>
        <x:v>2.045</x:v>
      </x:c>
      <x:c r="F7" s="21" t="n">
        <x:f>MAX(0,F6-E6+E6*'Inputs'!$B$29)</x:f>
        <x:v>5.075</x:v>
      </x:c>
      <x:c r="G7" s="21" t="n">
        <x:f>MAX(0,G6-F6+F6*'Inputs'!$B$29)</x:f>
        <x:v>8.15</x:v>
      </x:c>
      <x:c r="H7" s="21" t="n">
        <x:f>MAX(0,H6-G6+G6*'Inputs'!$B$29)</x:f>
        <x:v>10.27</x:v>
      </x:c>
      <x:c r="I7" s="21" t="n">
        <x:f>MAX(0,I6-H6+H6*'Inputs'!$B$29)</x:f>
        <x:v>12.42</x:v>
      </x:c>
      <x:c r="J7" s="21" t="n">
        <x:f>MAX(0,J6-I6+I6*'Inputs'!$B$29)</x:f>
        <x:v>15.6</x:v>
      </x:c>
      <x:c r="K7" s="21" t="n">
        <x:f>MAX(0,K6-J6+J6*'Inputs'!$B$29)</x:f>
        <x:v>15.825</x:v>
      </x:c>
      <x:c r="L7" s="21" t="n">
        <x:f>MAX(0,L6-K6+K6*'Inputs'!$B$29)</x:f>
        <x:v>16.05</x:v>
      </x:c>
      <x:c r="M7" s="21" t="n">
        <x:f>MAX(0,M6-L6+L6*'Inputs'!$B$29)</x:f>
        <x:v>16.275</x:v>
      </x:c>
      <x:c r="N7" s="28" t="n">
        <x:f>SUM(B7:M7)</x:f>
        <x:v>104.725</x:v>
      </x:c>
    </x:row>
    <x:row r="8" ht="21" customHeight="1">
      <x:c r="A8" s="1" t="str">
        <x:v>Average subscription price</x:v>
      </x:c>
      <x:c r="B8" s="13" t="n">
        <x:f>'Inputs'!$D$19</x:f>
        <x:v>211.49999999999997</x:v>
      </x:c>
      <x:c r="C8" s="13" t="n">
        <x:f>'Inputs'!$D$19</x:f>
        <x:v>211.49999999999997</x:v>
      </x:c>
      <x:c r="D8" s="13" t="n">
        <x:f>'Inputs'!$D$19</x:f>
        <x:v>211.49999999999997</x:v>
      </x:c>
      <x:c r="E8" s="13" t="n">
        <x:f>'Inputs'!$D$19</x:f>
        <x:v>211.49999999999997</x:v>
      </x:c>
      <x:c r="F8" s="13" t="n">
        <x:f>'Inputs'!$D$19</x:f>
        <x:v>211.49999999999997</x:v>
      </x:c>
      <x:c r="G8" s="13" t="n">
        <x:f>'Inputs'!$D$19</x:f>
        <x:v>211.49999999999997</x:v>
      </x:c>
      <x:c r="H8" s="13" t="n">
        <x:f>'Inputs'!$D$19</x:f>
        <x:v>211.49999999999997</x:v>
      </x:c>
      <x:c r="I8" s="13" t="n">
        <x:f>'Inputs'!$D$19</x:f>
        <x:v>211.49999999999997</x:v>
      </x:c>
      <x:c r="J8" s="13" t="n">
        <x:f>'Inputs'!$D$19</x:f>
        <x:v>211.49999999999997</x:v>
      </x:c>
      <x:c r="K8" s="13" t="n">
        <x:f>'Inputs'!$D$19</x:f>
        <x:v>211.49999999999997</x:v>
      </x:c>
      <x:c r="L8" s="13" t="n">
        <x:f>'Inputs'!$D$19</x:f>
        <x:v>211.49999999999997</x:v>
      </x:c>
      <x:c r="M8" s="13" t="n">
        <x:f>'Inputs'!$D$19</x:f>
        <x:v>211.49999999999997</x:v>
      </x:c>
      <x:c r="N8" s="29" t="n">
        <x:f>M8</x:f>
        <x:v>211.49999999999997</x:v>
      </x:c>
    </x:row>
    <x:row r="9" ht="21" customHeight="1">
      <x:c r="A9" s="1" t="str">
        <x:v>Allowance per account</x:v>
      </x:c>
      <x:c r="B9" s="20" t="n">
        <x:f>'Inputs'!$D$20</x:f>
        <x:v>3950</x:v>
      </x:c>
      <x:c r="C9" s="20" t="n">
        <x:f>'Inputs'!$D$20</x:f>
        <x:v>3950</x:v>
      </x:c>
      <x:c r="D9" s="20" t="n">
        <x:f>'Inputs'!$D$20</x:f>
        <x:v>3950</x:v>
      </x:c>
      <x:c r="E9" s="20" t="n">
        <x:f>'Inputs'!$D$20</x:f>
        <x:v>3950</x:v>
      </x:c>
      <x:c r="F9" s="20" t="n">
        <x:f>'Inputs'!$D$20</x:f>
        <x:v>3950</x:v>
      </x:c>
      <x:c r="G9" s="20" t="n">
        <x:f>'Inputs'!$D$20</x:f>
        <x:v>3950</x:v>
      </x:c>
      <x:c r="H9" s="20" t="n">
        <x:f>'Inputs'!$D$20</x:f>
        <x:v>3950</x:v>
      </x:c>
      <x:c r="I9" s="20" t="n">
        <x:f>'Inputs'!$D$20</x:f>
        <x:v>3950</x:v>
      </x:c>
      <x:c r="J9" s="20" t="n">
        <x:f>'Inputs'!$D$20</x:f>
        <x:v>3950</x:v>
      </x:c>
      <x:c r="K9" s="20" t="n">
        <x:f>'Inputs'!$D$20</x:f>
        <x:v>3950</x:v>
      </x:c>
      <x:c r="L9" s="20" t="n">
        <x:f>'Inputs'!$D$20</x:f>
        <x:v>3950</x:v>
      </x:c>
      <x:c r="M9" s="20" t="n">
        <x:f>'Inputs'!$D$20</x:f>
        <x:v>3950</x:v>
      </x:c>
      <x:c r="N9" s="27" t="n">
        <x:f>M9</x:f>
        <x:v>3950</x:v>
      </x:c>
    </x:row>
    <x:row r="10" ht="21" customHeight="1">
      <x:c r="A10" s="1" t="str">
        <x:v>Images processed</x:v>
      </x:c>
      <x:c r="B10" s="20" t="n">
        <x:f>B6*B9*'Inputs'!$B$24</x:f>
        <x:v>0</x:v>
      </x:c>
      <x:c r="C10" s="20" t="n">
        <x:f>C6*C9*'Inputs'!$B$24</x:f>
        <x:v>1975</x:v>
      </x:c>
      <x:c r="D10" s="20" t="n">
        <x:f>D6*D9*'Inputs'!$B$24</x:f>
        <x:v>5925</x:v>
      </x:c>
      <x:c r="E10" s="20" t="n">
        <x:f>E6*E9*'Inputs'!$B$24</x:f>
        <x:v>9875</x:v>
      </x:c>
      <x:c r="F10" s="20" t="n">
        <x:f>F6*F9*'Inputs'!$B$24</x:f>
        <x:v>19750</x:v>
      </x:c>
      <x:c r="G10" s="20" t="n">
        <x:f>G6*G9*'Inputs'!$B$24</x:f>
        <x:v>35550</x:v>
      </x:c>
      <x:c r="H10" s="20" t="n">
        <x:f>H6*H9*'Inputs'!$B$24</x:f>
        <x:v>55300</x:v>
      </x:c>
      <x:c r="I10" s="20" t="n">
        <x:f>I6*I9*'Inputs'!$B$24</x:f>
        <x:v>79000</x:v>
      </x:c>
      <x:c r="J10" s="20" t="n">
        <x:f>J6*J9*'Inputs'!$B$24</x:f>
        <x:v>108625</x:v>
      </x:c>
      <x:c r="K10" s="20" t="n">
        <x:f>K6*K9*'Inputs'!$B$24</x:f>
        <x:v>138250</x:v>
      </x:c>
      <x:c r="L10" s="20" t="n">
        <x:f>L6*L9*'Inputs'!$B$24</x:f>
        <x:v>167875</x:v>
      </x:c>
      <x:c r="M10" s="20" t="n">
        <x:f>M6*M9*'Inputs'!$B$24</x:f>
        <x:v>197500</x:v>
      </x:c>
      <x:c r="N10" s="27" t="n">
        <x:f>SUM(B10:M10)</x:f>
        <x:v>819625</x:v>
      </x:c>
    </x:row>
    <x:row r="11" ht="21" customHeight="1">
      <x:c r="A11" s="1" t="str">
        <x:v>Subscription revenue</x:v>
      </x:c>
      <x:c r="B11" s="19" t="n">
        <x:f>B6*B8</x:f>
        <x:v>0</x:v>
      </x:c>
      <x:c r="C11" s="19" t="n">
        <x:f>C6*C8</x:f>
        <x:v>211.49999999999997</x:v>
      </x:c>
      <x:c r="D11" s="19" t="n">
        <x:f>D6*D8</x:f>
        <x:v>634.4999999999999</x:v>
      </x:c>
      <x:c r="E11" s="19" t="n">
        <x:f>E6*E8</x:f>
        <x:v>1057.4999999999998</x:v>
      </x:c>
      <x:c r="F11" s="19" t="n">
        <x:f>F6*F8</x:f>
        <x:v>2114.9999999999995</x:v>
      </x:c>
      <x:c r="G11" s="19" t="n">
        <x:f>G6*G8</x:f>
        <x:v>3806.9999999999995</x:v>
      </x:c>
      <x:c r="H11" s="19" t="n">
        <x:f>H6*H8</x:f>
        <x:v>5921.999999999999</x:v>
      </x:c>
      <x:c r="I11" s="19" t="n">
        <x:f>I6*I8</x:f>
        <x:v>8459.999999999998</x:v>
      </x:c>
      <x:c r="J11" s="19" t="n">
        <x:f>J6*J8</x:f>
        <x:v>11632.499999999998</x:v>
      </x:c>
      <x:c r="K11" s="19" t="n">
        <x:f>K6*K8</x:f>
        <x:v>14804.999999999998</x:v>
      </x:c>
      <x:c r="L11" s="19" t="n">
        <x:f>L6*L8</x:f>
        <x:v>17977.499999999996</x:v>
      </x:c>
      <x:c r="M11" s="19" t="n">
        <x:f>M6*M8</x:f>
        <x:v>21149.999999999996</x:v>
      </x:c>
      <x:c r="N11" s="30" t="n">
        <x:f>SUM(B11:M11)</x:f>
        <x:v>87772.49999999999</x:v>
      </x:c>
    </x:row>
    <x:row r="12" ht="21" customHeight="1">
      <x:c r="A12" s="1" t="str">
        <x:v>Setup revenue</x:v>
      </x:c>
      <x:c r="B12" s="19" t="n">
        <x:f>B7*'Inputs'!$D$21</x:f>
        <x:v>0</x:v>
      </x:c>
      <x:c r="C12" s="19" t="n">
        <x:f>C7*'Inputs'!$D$21</x:f>
        <x:v>199</x:v>
      </x:c>
      <x:c r="D12" s="19" t="n">
        <x:f>D7*'Inputs'!$D$21</x:f>
        <x:v>400.985</x:v>
      </x:c>
      <x:c r="E12" s="19" t="n">
        <x:f>E7*'Inputs'!$D$21</x:f>
        <x:v>406.955</x:v>
      </x:c>
      <x:c r="F12" s="19" t="n">
        <x:f>F7*'Inputs'!$D$21</x:f>
        <x:v>1009.9250000000001</x:v>
      </x:c>
      <x:c r="G12" s="19" t="n">
        <x:f>G7*'Inputs'!$D$21</x:f>
        <x:v>1621.8500000000001</x:v>
      </x:c>
      <x:c r="H12" s="19" t="n">
        <x:f>H7*'Inputs'!$D$21</x:f>
        <x:v>2043.73</x:v>
      </x:c>
      <x:c r="I12" s="19" t="n">
        <x:f>I7*'Inputs'!$D$21</x:f>
        <x:v>2471.58</x:v>
      </x:c>
      <x:c r="J12" s="19" t="n">
        <x:f>J7*'Inputs'!$D$21</x:f>
        <x:v>3104.4</x:v>
      </x:c>
      <x:c r="K12" s="19" t="n">
        <x:f>K7*'Inputs'!$D$21</x:f>
        <x:v>3149.1749999999997</x:v>
      </x:c>
      <x:c r="L12" s="19" t="n">
        <x:f>L7*'Inputs'!$D$21</x:f>
        <x:v>3193.9500000000003</x:v>
      </x:c>
      <x:c r="M12" s="19" t="n">
        <x:f>M7*'Inputs'!$D$21</x:f>
        <x:v>3238.725</x:v>
      </x:c>
      <x:c r="N12" s="30" t="n">
        <x:f>SUM(B12:M12)</x:f>
        <x:v>20840.274999999998</x:v>
      </x:c>
    </x:row>
    <x:row r="13" ht="21" customHeight="1">
      <x:c r="A13" s="25" t="str">
        <x:v>Total billed revenue</x:v>
      </x:c>
      <x:c r="B13" s="26" t="n">
        <x:f>SUM(B11:B12)</x:f>
        <x:v>0</x:v>
      </x:c>
      <x:c r="C13" s="26" t="n">
        <x:f>SUM(C11:C12)</x:f>
        <x:v>410.5</x:v>
      </x:c>
      <x:c r="D13" s="26" t="n">
        <x:f>SUM(D11:D12)</x:f>
        <x:v>1035.485</x:v>
      </x:c>
      <x:c r="E13" s="26" t="n">
        <x:f>SUM(E11:E12)</x:f>
        <x:v>1464.4549999999997</x:v>
      </x:c>
      <x:c r="F13" s="26" t="n">
        <x:f>SUM(F11:F12)</x:f>
        <x:v>3124.9249999999997</x:v>
      </x:c>
      <x:c r="G13" s="26" t="n">
        <x:f>SUM(G11:G12)</x:f>
        <x:v>5428.849999999999</x:v>
      </x:c>
      <x:c r="H13" s="26" t="n">
        <x:f>SUM(H11:H12)</x:f>
        <x:v>7965.73</x:v>
      </x:c>
      <x:c r="I13" s="26" t="n">
        <x:f>SUM(I11:I12)</x:f>
        <x:v>10931.579999999998</x:v>
      </x:c>
      <x:c r="J13" s="26" t="n">
        <x:f>SUM(J11:J12)</x:f>
        <x:v>14736.899999999998</x:v>
      </x:c>
      <x:c r="K13" s="26" t="n">
        <x:f>SUM(K11:K12)</x:f>
        <x:v>17954.175</x:v>
      </x:c>
      <x:c r="L13" s="26" t="n">
        <x:f>SUM(L11:L12)</x:f>
        <x:v>21171.449999999997</x:v>
      </x:c>
      <x:c r="M13" s="26" t="n">
        <x:f>SUM(M11:M12)</x:f>
        <x:v>24388.724999999995</x:v>
      </x:c>
      <x:c r="N13" s="31" t="n">
        <x:f>SUM(B13:M13)</x:f>
        <x:v>108612.77499999998</x:v>
      </x:c>
    </x:row>
    <x:row r="14" ht="21" customHeight="1">
      <x:c r="A14" s="1" t="str">
        <x:v>Variable image delivery cost</x:v>
      </x:c>
      <x:c r="B14" s="19" t="n">
        <x:f>B10*'Inputs'!$B$25</x:f>
        <x:v>0</x:v>
      </x:c>
      <x:c r="C14" s="19" t="n">
        <x:f>C10*'Inputs'!$B$25</x:f>
        <x:v>29.625</x:v>
      </x:c>
      <x:c r="D14" s="19" t="n">
        <x:f>D10*'Inputs'!$B$25</x:f>
        <x:v>88.875</x:v>
      </x:c>
      <x:c r="E14" s="19" t="n">
        <x:f>E10*'Inputs'!$B$25</x:f>
        <x:v>148.125</x:v>
      </x:c>
      <x:c r="F14" s="19" t="n">
        <x:f>F10*'Inputs'!$B$25</x:f>
        <x:v>296.25</x:v>
      </x:c>
      <x:c r="G14" s="19" t="n">
        <x:f>G10*'Inputs'!$B$25</x:f>
        <x:v>533.25</x:v>
      </x:c>
      <x:c r="H14" s="19" t="n">
        <x:f>H10*'Inputs'!$B$25</x:f>
        <x:v>829.5</x:v>
      </x:c>
      <x:c r="I14" s="19" t="n">
        <x:f>I10*'Inputs'!$B$25</x:f>
        <x:v>1185</x:v>
      </x:c>
      <x:c r="J14" s="19" t="n">
        <x:f>J10*'Inputs'!$B$25</x:f>
        <x:v>1629.375</x:v>
      </x:c>
      <x:c r="K14" s="19" t="n">
        <x:f>K10*'Inputs'!$B$25</x:f>
        <x:v>2073.75</x:v>
      </x:c>
      <x:c r="L14" s="19" t="n">
        <x:f>L10*'Inputs'!$B$25</x:f>
        <x:v>2518.125</x:v>
      </x:c>
      <x:c r="M14" s="19" t="n">
        <x:f>M10*'Inputs'!$B$25</x:f>
        <x:v>2962.5</x:v>
      </x:c>
      <x:c r="N14" s="30" t="n">
        <x:f>SUM(B14:M14)</x:f>
        <x:v>12294.375</x:v>
      </x:c>
    </x:row>
    <x:row r="15" ht="21" customHeight="1">
      <x:c r="A15" s="1" t="str">
        <x:v>Payment fees</x:v>
      </x:c>
      <x:c r="B15" s="19" t="n">
        <x:f>B13*'Inputs'!$B$26+B6*'Inputs'!$B$27</x:f>
        <x:v>0</x:v>
      </x:c>
      <x:c r="C15" s="19" t="n">
        <x:f>C13*'Inputs'!$B$26+C6*'Inputs'!$B$27</x:f>
        <x:v>21.025000000000002</x:v>
      </x:c>
      <x:c r="D15" s="19" t="n">
        <x:f>D13*'Inputs'!$B$26+D6*'Inputs'!$B$27</x:f>
        <x:v>53.274249999999995</x:v>
      </x:c>
      <x:c r="E15" s="19" t="n">
        <x:f>E13*'Inputs'!$B$26+E6*'Inputs'!$B$27</x:f>
        <x:v>75.72274999999999</x:v>
      </x:c>
      <x:c r="F15" s="19" t="n">
        <x:f>F13*'Inputs'!$B$26+F6*'Inputs'!$B$27</x:f>
        <x:v>161.24625</x:v>
      </x:c>
      <x:c r="G15" s="19" t="n">
        <x:f>G13*'Inputs'!$B$26+G6*'Inputs'!$B$27</x:f>
        <x:v>280.4425</x:v>
      </x:c>
      <x:c r="H15" s="19" t="n">
        <x:f>H13*'Inputs'!$B$26+H6*'Inputs'!$B$27</x:f>
        <x:v>412.2865</x:v>
      </x:c>
      <x:c r="I15" s="19" t="n">
        <x:f>I13*'Inputs'!$B$26+I6*'Inputs'!$B$27</x:f>
        <x:v>566.579</x:v>
      </x:c>
      <x:c r="J15" s="19" t="n">
        <x:f>J13*'Inputs'!$B$26+J6*'Inputs'!$B$27</x:f>
        <x:v>764.3449999999999</x:v>
      </x:c>
      <x:c r="K15" s="19" t="n">
        <x:f>K13*'Inputs'!$B$26+K6*'Inputs'!$B$27</x:f>
        <x:v>932.70875</x:v>
      </x:c>
      <x:c r="L15" s="19" t="n">
        <x:f>L13*'Inputs'!$B$26+L6*'Inputs'!$B$27</x:f>
        <x:v>1101.0725</x:v>
      </x:c>
      <x:c r="M15" s="19" t="n">
        <x:f>M13*'Inputs'!$B$26+M6*'Inputs'!$B$27</x:f>
        <x:v>1269.4362499999997</x:v>
      </x:c>
      <x:c r="N15" s="30" t="n">
        <x:f>SUM(B15:M15)</x:f>
        <x:v>5638.13875</x:v>
      </x:c>
    </x:row>
    <x:row r="16" ht="21" customHeight="1">
      <x:c r="A16" s="1" t="str">
        <x:v>Refund and collection reserve</x:v>
      </x:c>
      <x:c r="B16" s="19" t="n">
        <x:f>B13*'Inputs'!$B$28</x:f>
        <x:v>0</x:v>
      </x:c>
      <x:c r="C16" s="19" t="n">
        <x:f>C13*'Inputs'!$B$28</x:f>
        <x:v>8.21</x:v>
      </x:c>
      <x:c r="D16" s="19" t="n">
        <x:f>D13*'Inputs'!$B$28</x:f>
        <x:v>20.709699999999998</x:v>
      </x:c>
      <x:c r="E16" s="19" t="n">
        <x:f>E13*'Inputs'!$B$28</x:f>
        <x:v>29.289099999999994</x:v>
      </x:c>
      <x:c r="F16" s="19" t="n">
        <x:f>F13*'Inputs'!$B$28</x:f>
        <x:v>62.49849999999999</x:v>
      </x:c>
      <x:c r="G16" s="19" t="n">
        <x:f>G13*'Inputs'!$B$28</x:f>
        <x:v>108.577</x:v>
      </x:c>
      <x:c r="H16" s="19" t="n">
        <x:f>H13*'Inputs'!$B$28</x:f>
        <x:v>159.31459999999998</x:v>
      </x:c>
      <x:c r="I16" s="19" t="n">
        <x:f>I13*'Inputs'!$B$28</x:f>
        <x:v>218.63159999999996</x:v>
      </x:c>
      <x:c r="J16" s="19" t="n">
        <x:f>J13*'Inputs'!$B$28</x:f>
        <x:v>294.73799999999994</x:v>
      </x:c>
      <x:c r="K16" s="19" t="n">
        <x:f>K13*'Inputs'!$B$28</x:f>
        <x:v>359.0835</x:v>
      </x:c>
      <x:c r="L16" s="19" t="n">
        <x:f>L13*'Inputs'!$B$28</x:f>
        <x:v>423.429</x:v>
      </x:c>
      <x:c r="M16" s="19" t="n">
        <x:f>M13*'Inputs'!$B$28</x:f>
        <x:v>487.77449999999993</x:v>
      </x:c>
      <x:c r="N16" s="30" t="n">
        <x:f>SUM(B16:M16)</x:f>
        <x:v>2172.2554999999998</x:v>
      </x:c>
    </x:row>
    <x:row r="17" ht="21" customHeight="1">
      <x:c r="A17" s="1" t="str">
        <x:v>Paid customer support</x:v>
      </x:c>
      <x:c r="B17" s="19" t="n">
        <x:f>B6*'Inputs'!$B$30*'Inputs'!$B$32</x:f>
        <x:v>0</x:v>
      </x:c>
      <x:c r="C17" s="19" t="n">
        <x:f>C6*'Inputs'!$B$30*'Inputs'!$B$32</x:f>
        <x:v>22.5</x:v>
      </x:c>
      <x:c r="D17" s="19" t="n">
        <x:f>D6*'Inputs'!$B$30*'Inputs'!$B$32</x:f>
        <x:v>67.5</x:v>
      </x:c>
      <x:c r="E17" s="19" t="n">
        <x:f>E6*'Inputs'!$B$30*'Inputs'!$B$32</x:f>
        <x:v>112.5</x:v>
      </x:c>
      <x:c r="F17" s="19" t="n">
        <x:f>F6*'Inputs'!$B$30*'Inputs'!$B$32</x:f>
        <x:v>225</x:v>
      </x:c>
      <x:c r="G17" s="19" t="n">
        <x:f>G6*'Inputs'!$B$30*'Inputs'!$B$32</x:f>
        <x:v>405</x:v>
      </x:c>
      <x:c r="H17" s="19" t="n">
        <x:f>H6*'Inputs'!$B$30*'Inputs'!$B$32</x:f>
        <x:v>630</x:v>
      </x:c>
      <x:c r="I17" s="19" t="n">
        <x:f>I6*'Inputs'!$B$30*'Inputs'!$B$32</x:f>
        <x:v>900</x:v>
      </x:c>
      <x:c r="J17" s="19" t="n">
        <x:f>J6*'Inputs'!$B$30*'Inputs'!$B$32</x:f>
        <x:v>1237.5</x:v>
      </x:c>
      <x:c r="K17" s="19" t="n">
        <x:f>K6*'Inputs'!$B$30*'Inputs'!$B$32</x:f>
        <x:v>1575</x:v>
      </x:c>
      <x:c r="L17" s="19" t="n">
        <x:f>L6*'Inputs'!$B$30*'Inputs'!$B$32</x:f>
        <x:v>1912.5</x:v>
      </x:c>
      <x:c r="M17" s="19" t="n">
        <x:f>M6*'Inputs'!$B$30*'Inputs'!$B$32</x:f>
        <x:v>2250</x:v>
      </x:c>
      <x:c r="N17" s="30" t="n">
        <x:f>SUM(B17:M17)</x:f>
        <x:v>9337.5</x:v>
      </x:c>
    </x:row>
    <x:row r="18" ht="21" customHeight="1">
      <x:c r="A18" s="1" t="str">
        <x:v>Paid onboarding</x:v>
      </x:c>
      <x:c r="B18" s="19" t="n">
        <x:f>B7*'Inputs'!$B$31*'Inputs'!$B$32</x:f>
        <x:v>0</x:v>
      </x:c>
      <x:c r="C18" s="19" t="n">
        <x:f>C7*'Inputs'!$B$31*'Inputs'!$B$32</x:f>
        <x:v>90</x:v>
      </x:c>
      <x:c r="D18" s="19" t="n">
        <x:f>D7*'Inputs'!$B$31*'Inputs'!$B$32</x:f>
        <x:v>181.35000000000002</x:v>
      </x:c>
      <x:c r="E18" s="19" t="n">
        <x:f>E7*'Inputs'!$B$31*'Inputs'!$B$32</x:f>
        <x:v>184.04999999999998</x:v>
      </x:c>
      <x:c r="F18" s="19" t="n">
        <x:f>F7*'Inputs'!$B$31*'Inputs'!$B$32</x:f>
        <x:v>456.75</x:v>
      </x:c>
      <x:c r="G18" s="19" t="n">
        <x:f>G7*'Inputs'!$B$31*'Inputs'!$B$32</x:f>
        <x:v>733.5</x:v>
      </x:c>
      <x:c r="H18" s="19" t="n">
        <x:f>H7*'Inputs'!$B$31*'Inputs'!$B$32</x:f>
        <x:v>924.3</x:v>
      </x:c>
      <x:c r="I18" s="19" t="n">
        <x:f>I7*'Inputs'!$B$31*'Inputs'!$B$32</x:f>
        <x:v>1117.8</x:v>
      </x:c>
      <x:c r="J18" s="19" t="n">
        <x:f>J7*'Inputs'!$B$31*'Inputs'!$B$32</x:f>
        <x:v>1404</x:v>
      </x:c>
      <x:c r="K18" s="19" t="n">
        <x:f>K7*'Inputs'!$B$31*'Inputs'!$B$32</x:f>
        <x:v>1424.25</x:v>
      </x:c>
      <x:c r="L18" s="19" t="n">
        <x:f>L7*'Inputs'!$B$31*'Inputs'!$B$32</x:f>
        <x:v>1444.5</x:v>
      </x:c>
      <x:c r="M18" s="19" t="n">
        <x:f>M7*'Inputs'!$B$31*'Inputs'!$B$32</x:f>
        <x:v>1464.7499999999998</x:v>
      </x:c>
      <x:c r="N18" s="30" t="n">
        <x:f>SUM(B18:M18)</x:f>
        <x:v>9425.25</x:v>
      </x:c>
    </x:row>
    <x:row r="19" ht="21" customHeight="1">
      <x:c r="A19" s="1" t="str">
        <x:v>Fixed infrastructure</x:v>
      </x:c>
      <x:c r="B19" s="19" t="n">
        <x:f>'Inputs'!B62</x:f>
        <x:v>200</x:v>
      </x:c>
      <x:c r="C19" s="19" t="n">
        <x:f>'Inputs'!C62</x:f>
        <x:v>200</x:v>
      </x:c>
      <x:c r="D19" s="19" t="n">
        <x:f>'Inputs'!D62</x:f>
        <x:v>250</x:v>
      </x:c>
      <x:c r="E19" s="19" t="n">
        <x:f>'Inputs'!E62</x:f>
        <x:v>300</x:v>
      </x:c>
      <x:c r="F19" s="19" t="n">
        <x:f>'Inputs'!F62</x:f>
        <x:v>350</x:v>
      </x:c>
      <x:c r="G19" s="19" t="n">
        <x:f>'Inputs'!G62</x:f>
        <x:v>400</x:v>
      </x:c>
      <x:c r="H19" s="19" t="n">
        <x:f>'Inputs'!H62</x:f>
        <x:v>500</x:v>
      </x:c>
      <x:c r="I19" s="19" t="n">
        <x:f>'Inputs'!I62</x:f>
        <x:v>600</x:v>
      </x:c>
      <x:c r="J19" s="19" t="n">
        <x:f>'Inputs'!J62</x:f>
        <x:v>700</x:v>
      </x:c>
      <x:c r="K19" s="19" t="n">
        <x:f>'Inputs'!K62</x:f>
        <x:v>800</x:v>
      </x:c>
      <x:c r="L19" s="19" t="n">
        <x:f>'Inputs'!L62</x:f>
        <x:v>850</x:v>
      </x:c>
      <x:c r="M19" s="19" t="n">
        <x:f>'Inputs'!M62</x:f>
        <x:v>850</x:v>
      </x:c>
      <x:c r="N19" s="30" t="n">
        <x:f>SUM(B19:M19)</x:f>
        <x:v>6000</x:v>
      </x:c>
    </x:row>
    <x:row r="20" ht="21" customHeight="1">
      <x:c r="A20" s="1" t="str">
        <x:v>Software and monitoring</x:v>
      </x:c>
      <x:c r="B20" s="19" t="n">
        <x:f>'Inputs'!B63</x:f>
        <x:v>100</x:v>
      </x:c>
      <x:c r="C20" s="19" t="n">
        <x:f>'Inputs'!C63</x:f>
        <x:v>100</x:v>
      </x:c>
      <x:c r="D20" s="19" t="n">
        <x:f>'Inputs'!D63</x:f>
        <x:v>150</x:v>
      </x:c>
      <x:c r="E20" s="19" t="n">
        <x:f>'Inputs'!E63</x:f>
        <x:v>200</x:v>
      </x:c>
      <x:c r="F20" s="19" t="n">
        <x:f>'Inputs'!F63</x:f>
        <x:v>250</x:v>
      </x:c>
      <x:c r="G20" s="19" t="n">
        <x:f>'Inputs'!G63</x:f>
        <x:v>300</x:v>
      </x:c>
      <x:c r="H20" s="19" t="n">
        <x:f>'Inputs'!H63</x:f>
        <x:v>400</x:v>
      </x:c>
      <x:c r="I20" s="19" t="n">
        <x:f>'Inputs'!I63</x:f>
        <x:v>450</x:v>
      </x:c>
      <x:c r="J20" s="19" t="n">
        <x:f>'Inputs'!J63</x:f>
        <x:v>500</x:v>
      </x:c>
      <x:c r="K20" s="19" t="n">
        <x:f>'Inputs'!K63</x:f>
        <x:v>550</x:v>
      </x:c>
      <x:c r="L20" s="19" t="n">
        <x:f>'Inputs'!L63</x:f>
        <x:v>600</x:v>
      </x:c>
      <x:c r="M20" s="19" t="n">
        <x:f>'Inputs'!M63</x:f>
        <x:v>600</x:v>
      </x:c>
      <x:c r="N20" s="30" t="n">
        <x:f>SUM(B20:M20)</x:f>
        <x:v>4200</x:v>
      </x:c>
    </x:row>
    <x:row r="21" ht="21" customHeight="1">
      <x:c r="A21" s="1" t="str">
        <x:v>Marketing and acquisition</x:v>
      </x:c>
      <x:c r="B21" s="19" t="n">
        <x:f>'Inputs'!B64</x:f>
        <x:v>500</x:v>
      </x:c>
      <x:c r="C21" s="19" t="n">
        <x:f>'Inputs'!C64</x:f>
        <x:v>500</x:v>
      </x:c>
      <x:c r="D21" s="19" t="n">
        <x:f>'Inputs'!D64</x:f>
        <x:v>1000</x:v>
      </x:c>
      <x:c r="E21" s="19" t="n">
        <x:f>'Inputs'!E64</x:f>
        <x:v>1000</x:v>
      </x:c>
      <x:c r="F21" s="19" t="n">
        <x:f>'Inputs'!F64</x:f>
        <x:v>1500</x:v>
      </x:c>
      <x:c r="G21" s="19" t="n">
        <x:f>'Inputs'!G64</x:f>
        <x:v>1500</x:v>
      </x:c>
      <x:c r="H21" s="19" t="n">
        <x:f>'Inputs'!H64</x:f>
        <x:v>2000</x:v>
      </x:c>
      <x:c r="I21" s="19" t="n">
        <x:f>'Inputs'!I64</x:f>
        <x:v>2500</x:v>
      </x:c>
      <x:c r="J21" s="19" t="n">
        <x:f>'Inputs'!J64</x:f>
        <x:v>3000</x:v>
      </x:c>
      <x:c r="K21" s="19" t="n">
        <x:f>'Inputs'!K64</x:f>
        <x:v>3500</x:v>
      </x:c>
      <x:c r="L21" s="19" t="n">
        <x:f>'Inputs'!L64</x:f>
        <x:v>3500</x:v>
      </x:c>
      <x:c r="M21" s="19" t="n">
        <x:f>'Inputs'!M64</x:f>
        <x:v>3500</x:v>
      </x:c>
      <x:c r="N21" s="30" t="n">
        <x:f>SUM(B21:M21)</x:f>
        <x:v>24000</x:v>
      </x:c>
    </x:row>
    <x:row r="22" ht="21" customHeight="1">
      <x:c r="A22" s="1" t="str">
        <x:v>Contract development</x:v>
      </x:c>
      <x:c r="B22" s="19" t="n">
        <x:f>'Inputs'!B65</x:f>
        <x:v>8000</x:v>
      </x:c>
      <x:c r="C22" s="19" t="n">
        <x:f>'Inputs'!C65</x:f>
        <x:v>8000</x:v>
      </x:c>
      <x:c r="D22" s="19" t="n">
        <x:f>'Inputs'!D65</x:f>
        <x:v>6000</x:v>
      </x:c>
      <x:c r="E22" s="19" t="n">
        <x:f>'Inputs'!E65</x:f>
        <x:v>4000</x:v>
      </x:c>
      <x:c r="F22" s="19" t="n">
        <x:f>'Inputs'!F65</x:f>
        <x:v>4000</x:v>
      </x:c>
      <x:c r="G22" s="19" t="n">
        <x:f>'Inputs'!G65</x:f>
        <x:v>2000</x:v>
      </x:c>
      <x:c r="H22" s="19" t="n">
        <x:f>'Inputs'!H65</x:f>
        <x:v>1000</x:v>
      </x:c>
      <x:c r="I22" s="19" t="n">
        <x:f>'Inputs'!I65</x:f>
        <x:v>1000</x:v>
      </x:c>
      <x:c r="J22" s="19" t="n">
        <x:f>'Inputs'!J65</x:f>
        <x:v>1000</x:v>
      </x:c>
      <x:c r="K22" s="19" t="n">
        <x:f>'Inputs'!K65</x:f>
        <x:v>1000</x:v>
      </x:c>
      <x:c r="L22" s="19" t="n">
        <x:f>'Inputs'!L65</x:f>
        <x:v>0</x:v>
      </x:c>
      <x:c r="M22" s="19" t="n">
        <x:f>'Inputs'!M65</x:f>
        <x:v>0</x:v>
      </x:c>
      <x:c r="N22" s="30" t="n">
        <x:f>SUM(B22:M22)</x:f>
        <x:v>36000</x:v>
      </x:c>
    </x:row>
    <x:row r="23" ht="21" customHeight="1">
      <x:c r="A23" s="1" t="str">
        <x:v>Legal insurance accounting</x:v>
      </x:c>
      <x:c r="B23" s="19" t="n">
        <x:f>'Inputs'!B66</x:f>
        <x:v>750</x:v>
      </x:c>
      <x:c r="C23" s="19" t="n">
        <x:f>'Inputs'!C66</x:f>
        <x:v>750</x:v>
      </x:c>
      <x:c r="D23" s="19" t="n">
        <x:f>'Inputs'!D66</x:f>
        <x:v>750</x:v>
      </x:c>
      <x:c r="E23" s="19" t="n">
        <x:f>'Inputs'!E66</x:f>
        <x:v>750</x:v>
      </x:c>
      <x:c r="F23" s="19" t="n">
        <x:f>'Inputs'!F66</x:f>
        <x:v>750</x:v>
      </x:c>
      <x:c r="G23" s="19" t="n">
        <x:f>'Inputs'!G66</x:f>
        <x:v>750</x:v>
      </x:c>
      <x:c r="H23" s="19" t="n">
        <x:f>'Inputs'!H66</x:f>
        <x:v>750</x:v>
      </x:c>
      <x:c r="I23" s="19" t="n">
        <x:f>'Inputs'!I66</x:f>
        <x:v>750</x:v>
      </x:c>
      <x:c r="J23" s="19" t="n">
        <x:f>'Inputs'!J66</x:f>
        <x:v>750</x:v>
      </x:c>
      <x:c r="K23" s="19" t="n">
        <x:f>'Inputs'!K66</x:f>
        <x:v>750</x:v>
      </x:c>
      <x:c r="L23" s="19" t="n">
        <x:f>'Inputs'!L66</x:f>
        <x:v>750</x:v>
      </x:c>
      <x:c r="M23" s="19" t="n">
        <x:f>'Inputs'!M66</x:f>
        <x:v>750</x:v>
      </x:c>
      <x:c r="N23" s="30" t="n">
        <x:f>SUM(B23:M23)</x:f>
        <x:v>9000</x:v>
      </x:c>
    </x:row>
    <x:row r="24" ht="21" customHeight="1">
      <x:c r="A24" s="25" t="str">
        <x:v>Total cash cost excluding founder</x:v>
      </x:c>
      <x:c r="B24" s="26" t="n">
        <x:f>SUM(B14:B23)</x:f>
        <x:v>9550</x:v>
      </x:c>
      <x:c r="C24" s="26" t="n">
        <x:f>SUM(C14:C23)</x:f>
        <x:v>9721.36</x:v>
      </x:c>
      <x:c r="D24" s="26" t="n">
        <x:f>SUM(D14:D23)</x:f>
        <x:v>8561.70895</x:v>
      </x:c>
      <x:c r="E24" s="26" t="n">
        <x:f>SUM(E14:E23)</x:f>
        <x:v>6799.68685</x:v>
      </x:c>
      <x:c r="F24" s="26" t="n">
        <x:f>SUM(F14:F23)</x:f>
        <x:v>8051.74475</x:v>
      </x:c>
      <x:c r="G24" s="26" t="n">
        <x:f>SUM(G14:G23)</x:f>
        <x:v>7010.7695</x:v>
      </x:c>
      <x:c r="H24" s="26" t="n">
        <x:f>SUM(H14:H23)</x:f>
        <x:v>7605.4011</x:v>
      </x:c>
      <x:c r="I24" s="26" t="n">
        <x:f>SUM(I14:I23)</x:f>
        <x:v>9288.0106</x:v>
      </x:c>
      <x:c r="J24" s="26" t="n">
        <x:f>SUM(J14:J23)</x:f>
        <x:v>11279.957999999999</x:v>
      </x:c>
      <x:c r="K24" s="26" t="n">
        <x:f>SUM(K14:K23)</x:f>
        <x:v>12964.79225</x:v>
      </x:c>
      <x:c r="L24" s="26" t="n">
        <x:f>SUM(L14:L23)</x:f>
        <x:v>13099.6265</x:v>
      </x:c>
      <x:c r="M24" s="26" t="n">
        <x:f>SUM(M14:M23)</x:f>
        <x:v>14134.460749999998</x:v>
      </x:c>
      <x:c r="N24" s="31" t="n">
        <x:f>SUM(B24:M24)</x:f>
        <x:v>118067.51925</x:v>
      </x:c>
    </x:row>
    <x:row r="25" ht="21" customHeight="1">
      <x:c r="A25" s="25" t="str">
        <x:v>Operating result before founder</x:v>
      </x:c>
      <x:c r="B25" s="26" t="n">
        <x:f>B13-B24</x:f>
        <x:v>-9550</x:v>
      </x:c>
      <x:c r="C25" s="26" t="n">
        <x:f>C13-C24</x:f>
        <x:v>-9310.86</x:v>
      </x:c>
      <x:c r="D25" s="26" t="n">
        <x:f>D13-D24</x:f>
        <x:v>-7526.2239500000005</x:v>
      </x:c>
      <x:c r="E25" s="26" t="n">
        <x:f>E13-E24</x:f>
        <x:v>-5335.23185</x:v>
      </x:c>
      <x:c r="F25" s="26" t="n">
        <x:f>F13-F24</x:f>
        <x:v>-4926.819750000001</x:v>
      </x:c>
      <x:c r="G25" s="26" t="n">
        <x:f>G13-G24</x:f>
        <x:v>-1581.9195000000009</x:v>
      </x:c>
      <x:c r="H25" s="26" t="n">
        <x:f>H13-H24</x:f>
        <x:v>360.3288999999995</x:v>
      </x:c>
      <x:c r="I25" s="26" t="n">
        <x:f>I13-I24</x:f>
        <x:v>1643.5693999999985</x:v>
      </x:c>
      <x:c r="J25" s="26" t="n">
        <x:f>J13-J24</x:f>
        <x:v>3456.941999999999</x:v>
      </x:c>
      <x:c r="K25" s="26" t="n">
        <x:f>K13-K24</x:f>
        <x:v>4989.382749999999</x:v>
      </x:c>
      <x:c r="L25" s="26" t="n">
        <x:f>L13-L24</x:f>
        <x:v>8071.823499999997</x:v>
      </x:c>
      <x:c r="M25" s="26" t="n">
        <x:f>M13-M24</x:f>
        <x:v>10254.264249999997</x:v>
      </x:c>
      <x:c r="N25" s="31" t="n">
        <x:f>SUM(B25:M25)</x:f>
        <x:v>-9454.744250000007</x:v>
      </x:c>
    </x:row>
    <x:row r="26" ht="21" customHeight="1">
      <x:c r="A26" s="1" t="str">
        <x:v>Founder labor if paid</x:v>
      </x:c>
      <x:c r="B26" s="19" t="n">
        <x:f>'Inputs'!B67</x:f>
        <x:v>7000</x:v>
      </x:c>
      <x:c r="C26" s="19" t="n">
        <x:f>'Inputs'!C67</x:f>
        <x:v>7000</x:v>
      </x:c>
      <x:c r="D26" s="19" t="n">
        <x:f>'Inputs'!D67</x:f>
        <x:v>7000</x:v>
      </x:c>
      <x:c r="E26" s="19" t="n">
        <x:f>'Inputs'!E67</x:f>
        <x:v>7000</x:v>
      </x:c>
      <x:c r="F26" s="19" t="n">
        <x:f>'Inputs'!F67</x:f>
        <x:v>7000</x:v>
      </x:c>
      <x:c r="G26" s="19" t="n">
        <x:f>'Inputs'!G67</x:f>
        <x:v>7000</x:v>
      </x:c>
      <x:c r="H26" s="19" t="n">
        <x:f>'Inputs'!H67</x:f>
        <x:v>7000</x:v>
      </x:c>
      <x:c r="I26" s="19" t="n">
        <x:f>'Inputs'!I67</x:f>
        <x:v>7000</x:v>
      </x:c>
      <x:c r="J26" s="19" t="n">
        <x:f>'Inputs'!J67</x:f>
        <x:v>7000</x:v>
      </x:c>
      <x:c r="K26" s="19" t="n">
        <x:f>'Inputs'!K67</x:f>
        <x:v>7000</x:v>
      </x:c>
      <x:c r="L26" s="19" t="n">
        <x:f>'Inputs'!L67</x:f>
        <x:v>7000</x:v>
      </x:c>
      <x:c r="M26" s="19" t="n">
        <x:f>'Inputs'!M67</x:f>
        <x:v>7000</x:v>
      </x:c>
      <x:c r="N26" s="30" t="n">
        <x:f>SUM(B26:M26)</x:f>
        <x:v>84000</x:v>
      </x:c>
    </x:row>
    <x:row r="27" ht="21" customHeight="1">
      <x:c r="A27" s="25" t="str">
        <x:v>Result including founder labor</x:v>
      </x:c>
      <x:c r="B27" s="26" t="n">
        <x:f>B25-B26</x:f>
        <x:v>-16550</x:v>
      </x:c>
      <x:c r="C27" s="26" t="n">
        <x:f>C25-C26</x:f>
        <x:v>-16310.86</x:v>
      </x:c>
      <x:c r="D27" s="26" t="n">
        <x:f>D25-D26</x:f>
        <x:v>-14526.22395</x:v>
      </x:c>
      <x:c r="E27" s="26" t="n">
        <x:f>E25-E26</x:f>
        <x:v>-12335.23185</x:v>
      </x:c>
      <x:c r="F27" s="26" t="n">
        <x:f>F25-F26</x:f>
        <x:v>-11926.81975</x:v>
      </x:c>
      <x:c r="G27" s="26" t="n">
        <x:f>G25-G26</x:f>
        <x:v>-8581.9195</x:v>
      </x:c>
      <x:c r="H27" s="26" t="n">
        <x:f>H25-H26</x:f>
        <x:v>-6639.6711000000005</x:v>
      </x:c>
      <x:c r="I27" s="26" t="n">
        <x:f>I25-I26</x:f>
        <x:v>-5356.4306000000015</x:v>
      </x:c>
      <x:c r="J27" s="26" t="n">
        <x:f>J25-J26</x:f>
        <x:v>-3543.058000000001</x:v>
      </x:c>
      <x:c r="K27" s="26" t="n">
        <x:f>K25-K26</x:f>
        <x:v>-2010.6172500000011</x:v>
      </x:c>
      <x:c r="L27" s="26" t="n">
        <x:f>L25-L26</x:f>
        <x:v>1071.8234999999968</x:v>
      </x:c>
      <x:c r="M27" s="26" t="n">
        <x:f>M25-M26</x:f>
        <x:v>3254.2642499999965</x:v>
      </x:c>
      <x:c r="N27" s="31" t="n">
        <x:f>SUM(B27:M27)</x:f>
        <x:v>-93454.74425000002</x:v>
      </x:c>
    </x:row>
    <x:row r="28" ht="21" customHeight="1">
      <x:c r="A28" s="1" t="str">
        <x:v>Cumulative operating result</x:v>
      </x:c>
      <x:c r="B28" s="19" t="n">
        <x:f>B25</x:f>
        <x:v>-9550</x:v>
      </x:c>
      <x:c r="C28" s="19" t="n">
        <x:f>B28+C25</x:f>
        <x:v>-18860.86</x:v>
      </x:c>
      <x:c r="D28" s="19" t="n">
        <x:f>C28+D25</x:f>
        <x:v>-26387.08395</x:v>
      </x:c>
      <x:c r="E28" s="19" t="n">
        <x:f>D28+E25</x:f>
        <x:v>-31722.3158</x:v>
      </x:c>
      <x:c r="F28" s="19" t="n">
        <x:f>E28+F25</x:f>
        <x:v>-36649.13555</x:v>
      </x:c>
      <x:c r="G28" s="19" t="n">
        <x:f>F28+G25</x:f>
        <x:v>-38231.05505</x:v>
      </x:c>
      <x:c r="H28" s="19" t="n">
        <x:f>G28+H25</x:f>
        <x:v>-37870.72615</x:v>
      </x:c>
      <x:c r="I28" s="19" t="n">
        <x:f>H28+I25</x:f>
        <x:v>-36227.15675</x:v>
      </x:c>
      <x:c r="J28" s="19" t="n">
        <x:f>I28+J25</x:f>
        <x:v>-32770.21475</x:v>
      </x:c>
      <x:c r="K28" s="19" t="n">
        <x:f>J28+K25</x:f>
        <x:v>-27780.832000000002</x:v>
      </x:c>
      <x:c r="L28" s="19" t="n">
        <x:f>K28+L25</x:f>
        <x:v>-19709.008500000004</x:v>
      </x:c>
      <x:c r="M28" s="19" t="n">
        <x:f>L28+M25</x:f>
        <x:v>-9454.744250000007</x:v>
      </x:c>
      <x:c r="N28" s="30" t="n">
        <x:f>M28</x:f>
        <x:v>-9454.744250000007</x:v>
      </x:c>
    </x:row>
    <x:row r="29" ht="21" customHeight="1">
      <x:c r="A29" s="1" t="str">
        <x:v>Receipts after collection delay</x:v>
      </x:c>
      <x:c r="B29" s="19" t="n">
        <x:f>IF(1&lt;='Inputs'!$B$33,0,INDEX($B$13:$M$13,1,1-'Inputs'!$B$33))</x:f>
        <x:v>0</x:v>
      </x:c>
      <x:c r="C29" s="19" t="n">
        <x:f>IF(2&lt;='Inputs'!$B$33,0,INDEX($B$13:$M$13,1,2-'Inputs'!$B$33))</x:f>
        <x:v>410.5</x:v>
      </x:c>
      <x:c r="D29" s="19" t="n">
        <x:f>IF(3&lt;='Inputs'!$B$33,0,INDEX($B$13:$M$13,1,3-'Inputs'!$B$33))</x:f>
        <x:v>1035.485</x:v>
      </x:c>
      <x:c r="E29" s="19" t="n">
        <x:f>IF(4&lt;='Inputs'!$B$33,0,INDEX($B$13:$M$13,1,4-'Inputs'!$B$33))</x:f>
        <x:v>1464.4549999999997</x:v>
      </x:c>
      <x:c r="F29" s="19" t="n">
        <x:f>IF(5&lt;='Inputs'!$B$33,0,INDEX($B$13:$M$13,1,5-'Inputs'!$B$33))</x:f>
        <x:v>3124.9249999999997</x:v>
      </x:c>
      <x:c r="G29" s="19" t="n">
        <x:f>IF(6&lt;='Inputs'!$B$33,0,INDEX($B$13:$M$13,1,6-'Inputs'!$B$33))</x:f>
        <x:v>5428.849999999999</x:v>
      </x:c>
      <x:c r="H29" s="19" t="n">
        <x:f>IF(7&lt;='Inputs'!$B$33,0,INDEX($B$13:$M$13,1,7-'Inputs'!$B$33))</x:f>
        <x:v>7965.73</x:v>
      </x:c>
      <x:c r="I29" s="19" t="n">
        <x:f>IF(8&lt;='Inputs'!$B$33,0,INDEX($B$13:$M$13,1,8-'Inputs'!$B$33))</x:f>
        <x:v>10931.579999999998</x:v>
      </x:c>
      <x:c r="J29" s="19" t="n">
        <x:f>IF(9&lt;='Inputs'!$B$33,0,INDEX($B$13:$M$13,1,9-'Inputs'!$B$33))</x:f>
        <x:v>14736.899999999998</x:v>
      </x:c>
      <x:c r="K29" s="19" t="n">
        <x:f>IF(10&lt;='Inputs'!$B$33,0,INDEX($B$13:$M$13,1,10-'Inputs'!$B$33))</x:f>
        <x:v>17954.175</x:v>
      </x:c>
      <x:c r="L29" s="19" t="n">
        <x:f>IF(11&lt;='Inputs'!$B$33,0,INDEX($B$13:$M$13,1,11-'Inputs'!$B$33))</x:f>
        <x:v>21171.449999999997</x:v>
      </x:c>
      <x:c r="M29" s="19" t="n">
        <x:f>IF(12&lt;='Inputs'!$B$33,0,INDEX($B$13:$M$13,1,12-'Inputs'!$B$33))</x:f>
        <x:v>24388.724999999995</x:v>
      </x:c>
      <x:c r="N29" s="30" t="n">
        <x:f>SUM(B29:M29)</x:f>
        <x:v>108612.77499999998</x:v>
      </x:c>
    </x:row>
    <x:row r="30" ht="21" customHeight="1">
      <x:c r="A30" s="1" t="str">
        <x:v>Cash flow after collection delay</x:v>
      </x:c>
      <x:c r="B30" s="19" t="n">
        <x:f>B29-B24</x:f>
        <x:v>-9550</x:v>
      </x:c>
      <x:c r="C30" s="19" t="n">
        <x:f>C29-C24</x:f>
        <x:v>-9310.86</x:v>
      </x:c>
      <x:c r="D30" s="19" t="n">
        <x:f>D29-D24</x:f>
        <x:v>-7526.2239500000005</x:v>
      </x:c>
      <x:c r="E30" s="19" t="n">
        <x:f>E29-E24</x:f>
        <x:v>-5335.23185</x:v>
      </x:c>
      <x:c r="F30" s="19" t="n">
        <x:f>F29-F24</x:f>
        <x:v>-4926.819750000001</x:v>
      </x:c>
      <x:c r="G30" s="19" t="n">
        <x:f>G29-G24</x:f>
        <x:v>-1581.9195000000009</x:v>
      </x:c>
      <x:c r="H30" s="19" t="n">
        <x:f>H29-H24</x:f>
        <x:v>360.3288999999995</x:v>
      </x:c>
      <x:c r="I30" s="19" t="n">
        <x:f>I29-I24</x:f>
        <x:v>1643.5693999999985</x:v>
      </x:c>
      <x:c r="J30" s="19" t="n">
        <x:f>J29-J24</x:f>
        <x:v>3456.941999999999</x:v>
      </x:c>
      <x:c r="K30" s="19" t="n">
        <x:f>K29-K24</x:f>
        <x:v>4989.382749999999</x:v>
      </x:c>
      <x:c r="L30" s="19" t="n">
        <x:f>L29-L24</x:f>
        <x:v>8071.823499999997</x:v>
      </x:c>
      <x:c r="M30" s="19" t="n">
        <x:f>M29-M24</x:f>
        <x:v>10254.264249999997</x:v>
      </x:c>
      <x:c r="N30" s="30" t="n">
        <x:f>SUM(B30:M30)</x:f>
        <x:v>-9454.744250000007</x:v>
      </x:c>
    </x:row>
    <x:row r="31" ht="21" customHeight="1">
      <x:c r="A31" s="25" t="str">
        <x:v>Cumulative cash excluding founder</x:v>
      </x:c>
      <x:c r="B31" s="26" t="n">
        <x:f>B30</x:f>
        <x:v>-9550</x:v>
      </x:c>
      <x:c r="C31" s="26" t="n">
        <x:f>B31+C30</x:f>
        <x:v>-18860.86</x:v>
      </x:c>
      <x:c r="D31" s="26" t="n">
        <x:f>C31+D30</x:f>
        <x:v>-26387.08395</x:v>
      </x:c>
      <x:c r="E31" s="26" t="n">
        <x:f>D31+E30</x:f>
        <x:v>-31722.3158</x:v>
      </x:c>
      <x:c r="F31" s="26" t="n">
        <x:f>E31+F30</x:f>
        <x:v>-36649.13555</x:v>
      </x:c>
      <x:c r="G31" s="26" t="n">
        <x:f>F31+G30</x:f>
        <x:v>-38231.05505</x:v>
      </x:c>
      <x:c r="H31" s="26" t="n">
        <x:f>G31+H30</x:f>
        <x:v>-37870.72615</x:v>
      </x:c>
      <x:c r="I31" s="26" t="n">
        <x:f>H31+I30</x:f>
        <x:v>-36227.15675</x:v>
      </x:c>
      <x:c r="J31" s="26" t="n">
        <x:f>I31+J30</x:f>
        <x:v>-32770.21475</x:v>
      </x:c>
      <x:c r="K31" s="26" t="n">
        <x:f>J31+K30</x:f>
        <x:v>-27780.832000000002</x:v>
      </x:c>
      <x:c r="L31" s="26" t="n">
        <x:f>K31+L30</x:f>
        <x:v>-19709.008500000004</x:v>
      </x:c>
      <x:c r="M31" s="26" t="n">
        <x:f>L31+M30</x:f>
        <x:v>-9454.744250000007</x:v>
      </x:c>
      <x:c r="N31" s="31" t="n">
        <x:f>M31</x:f>
        <x:v>-9454.744250000007</x:v>
      </x:c>
    </x:row>
    <x:row r="32" ht="21" customHeight="1">
      <x:c r="A32" s="25" t="str">
        <x:v>Cumulative cash including founder</x:v>
      </x:c>
      <x:c r="B32" s="26" t="n">
        <x:f>B30-B26</x:f>
        <x:v>-16550</x:v>
      </x:c>
      <x:c r="C32" s="26" t="n">
        <x:f>B32+C30-C26</x:f>
        <x:v>-32860.86</x:v>
      </x:c>
      <x:c r="D32" s="26" t="n">
        <x:f>C32+D30-D26</x:f>
        <x:v>-47387.08395</x:v>
      </x:c>
      <x:c r="E32" s="26" t="n">
        <x:f>D32+E30-E26</x:f>
        <x:v>-59722.3158</x:v>
      </x:c>
      <x:c r="F32" s="26" t="n">
        <x:f>E32+F30-F26</x:f>
        <x:v>-71649.13555</x:v>
      </x:c>
      <x:c r="G32" s="26" t="n">
        <x:f>F32+G30-G26</x:f>
        <x:v>-80231.05505000001</x:v>
      </x:c>
      <x:c r="H32" s="26" t="n">
        <x:f>G32+H30-H26</x:f>
        <x:v>-86870.72615000002</x:v>
      </x:c>
      <x:c r="I32" s="26" t="n">
        <x:f>H32+I30-I26</x:f>
        <x:v>-92227.15675000002</x:v>
      </x:c>
      <x:c r="J32" s="26" t="n">
        <x:f>I32+J30-J26</x:f>
        <x:v>-95770.21475000003</x:v>
      </x:c>
      <x:c r="K32" s="26" t="n">
        <x:f>J32+K30-K26</x:f>
        <x:v>-97780.83200000002</x:v>
      </x:c>
      <x:c r="L32" s="26" t="n">
        <x:f>K32+L30-L26</x:f>
        <x:v>-96709.00850000003</x:v>
      </x:c>
      <x:c r="M32" s="26" t="n">
        <x:f>L32+M30-M26</x:f>
        <x:v>-93454.74425000003</x:v>
      </x:c>
      <x:c r="N32" s="31" t="n">
        <x:f>M32</x:f>
        <x:v>-93454.74425000003</x:v>
      </x:c>
    </x:row>
    <x:row r="33" ht="21" customHeight="1">
      <x:c r="A33" s="1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30"/>
    </x:row>
    <x:row r="34" ht="21" customHeight="1">
      <x:c r="A34" s="25" t="str">
        <x:v>Delivery contribution before fixed costs</x:v>
      </x:c>
      <x:c r="B34" s="26" t="n">
        <x:f>B13-SUM(B14:B18)</x:f>
        <x:v>0</x:v>
      </x:c>
      <x:c r="C34" s="26" t="n">
        <x:f>C13-SUM(C14:C18)</x:f>
        <x:v>239.14</x:v>
      </x:c>
      <x:c r="D34" s="26" t="n">
        <x:f>D13-SUM(D14:D18)</x:f>
        <x:v>623.7760499999999</x:v>
      </x:c>
      <x:c r="E34" s="26" t="n">
        <x:f>E13-SUM(E14:E18)</x:f>
        <x:v>914.7681499999998</x:v>
      </x:c>
      <x:c r="F34" s="26" t="n">
        <x:f>F13-SUM(F14:F18)</x:f>
        <x:v>1923.1802499999997</x:v>
      </x:c>
      <x:c r="G34" s="26" t="n">
        <x:f>G13-SUM(G14:G18)</x:f>
        <x:v>3368.0804999999996</x:v>
      </x:c>
      <x:c r="H34" s="26" t="n">
        <x:f>H13-SUM(H14:H18)</x:f>
        <x:v>5010.3288999999995</x:v>
      </x:c>
      <x:c r="I34" s="26" t="n">
        <x:f>I13-SUM(I14:I18)</x:f>
        <x:v>6943.5693999999985</x:v>
      </x:c>
      <x:c r="J34" s="26" t="n">
        <x:f>J13-SUM(J14:J18)</x:f>
        <x:v>9406.942</x:v>
      </x:c>
      <x:c r="K34" s="26" t="n">
        <x:f>K13-SUM(K14:K18)</x:f>
        <x:v>11589.382749999999</x:v>
      </x:c>
      <x:c r="L34" s="26" t="n">
        <x:f>L13-SUM(L14:L18)</x:f>
        <x:v>13771.823499999997</x:v>
      </x:c>
      <x:c r="M34" s="26" t="n">
        <x:f>M13-SUM(M14:M18)</x:f>
        <x:v>15954.264249999997</x:v>
      </x:c>
      <x:c r="N34" s="31" t="n">
        <x:f>SUM(B34:M34)</x:f>
        <x:v>69745.25575</x:v>
      </x:c>
    </x:row>
    <x:row r="35" ht="21" customHeight="1">
      <x:c r="A35" s="1" t="str">
        <x:v>Delivery contribution percent</x:v>
      </x:c>
      <x:c r="B35" s="22" t="str">
        <x:f>IF(B13=0,"",B34/B13)</x:f>
      </x:c>
      <x:c r="C35" s="22" t="n">
        <x:f>IF(C13=0,"",C34/C13)</x:f>
        <x:v>0.582557856272838</x:v>
      </x:c>
      <x:c r="D35" s="22" t="n">
        <x:f>IF(D13=0,"",D34/D13)</x:f>
        <x:v>0.602399889906662</x:v>
      </x:c>
      <x:c r="E35" s="22" t="n">
        <x:f>IF(E13=0,"",E34/E13)</x:f>
        <x:v>0.6246474968503641</x:v>
      </x:c>
      <x:c r="F35" s="22" t="n">
        <x:f>IF(F13=0,"",F34/F13)</x:f>
        <x:v>0.615432450378809</x:v>
      </x:c>
      <x:c r="G35" s="22" t="n">
        <x:f>IF(G13=0,"",G34/G13)</x:f>
        <x:v>0.6204040450555827</x:v>
      </x:c>
      <x:c r="H35" s="22" t="n">
        <x:f>IF(H13=0,"",H34/H13)</x:f>
        <x:v>0.6289855292609716</x:v>
      </x:c>
      <x:c r="I35" s="22" t="n">
        <x:f>IF(I13=0,"",I34/I13)</x:f>
        <x:v>0.6351844289663525</x:v>
      </x:c>
      <x:c r="J35" s="22" t="n">
        <x:f>IF(J13=0,"",J34/J13)</x:f>
        <x:v>0.6383256994347523</x:v>
      </x:c>
      <x:c r="K35" s="22" t="n">
        <x:f>IF(K13=0,"",K34/K13)</x:f>
        <x:v>0.6454979273622987</x:v>
      </x:c>
      <x:c r="L35" s="22" t="n">
        <x:f>IF(L13=0,"",L34/L13)</x:f>
        <x:v>0.6504903301379924</x:v>
      </x:c>
      <x:c r="M35" s="22" t="n">
        <x:f>IF(M13=0,"",M34/M13)</x:f>
        <x:v>0.6541655724110219</x:v>
      </x:c>
      <x:c r="N35" s="32" t="n">
        <x:f>N34/N13</x:f>
        <x:v>0.6421459699376985</x:v>
      </x:c>
    </x:row>
    <x:row r="36" ht="21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5" hidden="0" customWidth="1"/>
    <x:col min="3" max="3" width="87" hidden="0" customWidth="1"/>
    <x:col min="4" max="4" width="7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1" customHeight="1">
      <x:c r="A1" s="2" t="str">
        <x:v>Sources and assumptions</x:v>
      </x:c>
      <x:c r="B1" s="1"/>
      <x:c r="C1" s="1"/>
      <x:c r="D1" s="1"/>
    </x:row>
    <x:row r="2" ht="21" customHeight="1">
      <x:c r="A2" s="1" t="str">
        <x:v>Accessed 8 October 2026. Prices in USD; vendor claims do not establish comparative quality.</x:v>
      </x:c>
      <x:c r="B2" s="1"/>
      <x:c r="C2" s="1"/>
      <x:c r="D2" s="1"/>
    </x:row>
    <x:row r="3" ht="21" customHeight="1">
      <x:c r="A3" s="1"/>
      <x:c r="B3" s="1"/>
      <x:c r="C3" s="1"/>
      <x:c r="D3" s="1"/>
    </x:row>
    <x:row r="4" ht="28" customHeight="1">
      <x:c r="A4" s="9" t="str">
        <x:v>Key</x:v>
      </x:c>
      <x:c r="B4" s="9" t="str">
        <x:v>Source</x:v>
      </x:c>
      <x:c r="C4" s="9" t="str">
        <x:v>Reference</x:v>
      </x:c>
      <x:c r="D4" s="9" t="str">
        <x:v>Scope</x:v>
      </x:c>
    </x:row>
    <x:row r="5" ht="52" customHeight="1">
      <x:c r="A5" s="16" t="str">
        <x:v>prior_cost</x:v>
      </x:c>
      <x:c r="B5" s="16" t="str">
        <x:v>AltContext inference cost forecast</x:v>
      </x:c>
      <x:c r="C5" s="34" t="str">
        <x:v>docs/gtm/inference-cost-and-unit-economics-forecast.md</x:v>
      </x:c>
      <x:c r="D5" s="16" t="str">
        <x:v>Measured warm A10 about 6 sec/image at $2/hour; batching remains a forecast. Does not measure the course-material workflow.</x:v>
      </x:c>
    </x:row>
    <x:row r="6" ht="52" customHeight="1">
      <x:c r="A6" s="16" t="str">
        <x:v>prior_gtm</x:v>
      </x:c>
      <x:c r="B6" s="16" t="str">
        <x:v>AltContext productization launch plan</x:v>
      </x:c>
      <x:c r="C6" s="34" t="str">
        <x:v>docs/gtm/altcontext-productization-launch-plan.md</x:v>
      </x:c>
      <x:c r="D6" s="16" t="str">
        <x:v>Prior $0/$19/$49 pricing was a hypothesis. Current session changes the initial audience to professors and course materials.</x:v>
      </x:c>
    </x:row>
    <x:row r="7" ht="52" customHeight="1">
      <x:c r="A7" s="16" t="str">
        <x:v>alttext_ai</x:v>
      </x:c>
      <x:c r="B7" s="16" t="str">
        <x:v>AltText.ai pricing</x:v>
      </x:c>
      <x:c r="C7" s="34" t="str">
        <x:v>https://alttext.ai/pricing</x:v>
      </x:c>
      <x:c r="D7" s="16" t="str">
        <x:v>Annual $49/1,200; $189/6,000; $489/24,000; $1,179/60,000; $2,199/120,000. Annual normalized rates are not monthly subscription prices.</x:v>
      </x:c>
    </x:row>
    <x:row r="8" ht="52" customHeight="1">
      <x:c r="A8" s="16" t="str">
        <x:v>alttextify</x:v>
      </x:c>
      <x:c r="B8" s="16" t="str">
        <x:v>AltTextify pricing</x:v>
      </x:c>
      <x:c r="C8" s="34" t="str">
        <x:v>https://alttextify.net/plans</x:v>
      </x:c>
      <x:c r="D8" s="16" t="str">
        <x:v>Monthly $5/175, $19/800, $49/2,500, $99/7,000, $199/20,000 credits; one per generation.</x:v>
      </x:c>
    </x:row>
    <x:row r="9" ht="52" customHeight="1">
      <x:c r="A9" s="16" t="str">
        <x:v>altomatic</x:v>
      </x:c>
      <x:c r="B9" s="16" t="str">
        <x:v>Altomatic pricing</x:v>
      </x:c>
      <x:c r="C9" s="34" t="str">
        <x:v>https://altomatic.ai/pricing</x:v>
      </x:c>
      <x:c r="D9" s="16" t="str">
        <x:v>Monthly $5/500 through $200/24,000 credits. Alt text uses THREE credits/image; optimization variants use extra credits.</x:v>
      </x:c>
    </x:row>
    <x:row r="10" ht="52" customHeight="1">
      <x:c r="A10" s="16" t="str">
        <x:v>alttext_org</x:v>
      </x:c>
      <x:c r="B10" s="16" t="str">
        <x:v>ALTtext.org pricing</x:v>
      </x:c>
      <x:c r="C10" s="34" t="str">
        <x:v>https://alttext.org/pricing</x:v>
      </x:c>
      <x:c r="D10" s="16" t="str">
        <x:v>Free 20/day; personal $9.99 one-time; commercial Team $19.99/month up to 5 seats; Business/API $99/month quota unspecified.</x:v>
      </x:c>
    </x:row>
    <x:row r="11" ht="52" customHeight="1">
      <x:c r="A11" s="16" t="str">
        <x:v>photoshelter</x:v>
      </x:c>
      <x:c r="B11" s="16" t="str">
        <x:v>PhotoShelter Brands plans</x:v>
      </x:c>
      <x:c r="C11" s="34" t="str">
        <x:v>https://go.photoshelter.com/brands/pricing/</x:v>
      </x:c>
      <x:c r="D11" s="16" t="str">
        <x:v>Quote-based. Public plans specify 2–5 library seats and storage. User's $6k–$7k estimate is not a verified price.</x:v>
      </x:c>
    </x:row>
    <x:row r="12" ht="52" customHeight="1">
      <x:c r="A12" s="16" t="str">
        <x:v>photoshelter_ai</x:v>
      </x:c>
      <x:c r="B12" s="16" t="str">
        <x:v>PhotoShelter AI features</x:v>
      </x:c>
      <x:c r="C12" s="34" t="str">
        <x:v>https://go.photoshelter.com/brands/artificial-intelligence-ai/</x:v>
      </x:c>
      <x:c r="D12" s="16" t="str">
        <x:v>Advertises batch review of AI alt text, IPTC output, PeopleID and PlayerID. Does not prove identity is fused into each alt-text result.</x:v>
      </x:c>
    </x:row>
    <x:row r="13" ht="52" customHeight="1">
      <x:c r="A13" s="16" t="str">
        <x:v>ally</x:v>
      </x:c>
      <x:c r="B13" s="16" t="str">
        <x:v>Ally AI Alt Text Assistant</x:v>
      </x:c>
      <x:c r="C13" s="34" t="str">
        <x:v>https://help.anthology.com/ally-lms/en/administrators/ai-alt-text-assistant.html</x:v>
      </x:c>
      <x:c r="D13" s="16" t="str">
        <x:v>LMS-native suggestions can use surrounding rich-content/PDF text. Human review remains necessary. No standalone image price disclosed.</x:v>
      </x:c>
    </x:row>
    <x:row r="14" ht="52" customHeight="1">
      <x:c r="A14" s="16" t="str">
        <x:v>yuja</x:v>
      </x:c>
      <x:c r="B14" s="16" t="str">
        <x:v>YuJa enterprise pricing</x:v>
      </x:c>
      <x:c r="C14" s="34" t="str">
        <x:v>https://www.yuja.com/pricing/</x:v>
      </x:c>
      <x:c r="D14" s="16" t="str">
        <x:v>Quote-based institutional licensing and pilots; no public comparable image price.</x:v>
      </x:c>
    </x:row>
    <x:row r="15" ht="52" customHeight="1">
      <x:c r="A15" s="16" t="str">
        <x:v>yuja_ai</x:v>
      </x:c>
      <x:c r="B15" s="16" t="str">
        <x:v>Panorama AI alternative text</x:v>
      </x:c>
      <x:c r="C15" s="34" t="str">
        <x:v>https://support.yuja.com/hc/en-us/articles/24677216746391-How-Does-Panorama-Use-AI-to-Generate-Alternative-Text</x:v>
      </x:c>
      <x:c r="D15" s="16" t="str">
        <x:v>Extracts images from documents and generates descriptions. Vendor feature statement, not an independent quality evaluation.</x:v>
      </x:c>
    </x:row>
    <x:row r="16" ht="52" customHeight="1">
      <x:c r="A16" s="16" t="str">
        <x:v>dbgallery</x:v>
      </x:c>
      <x:c r="B16" s="16" t="str">
        <x:v>DBGallery 2025 pricing update</x:v>
      </x:c>
      <x:c r="C16" s="34" t="str">
        <x:v>https://dbgallery.com/2025-price-change</x:v>
      </x:c>
      <x:c r="D16" s="16" t="str">
        <x:v>AI descriptions, OCR and face recognition; 20% education/nonprofit/government discount. Current base price not recoverable from dynamic pricing page.</x:v>
      </x:c>
    </x:row>
    <x:row r="17" ht="52" customHeight="1">
      <x:c r="A17" s="16" t="str">
        <x:v>polar</x:v>
      </x:c>
      <x:c r="B17" s="16" t="str">
        <x:v>Polar pricing</x:v>
      </x:c>
      <x:c r="C17" s="34" t="str">
        <x:v>https://polar.sh/resources/pricing</x:v>
      </x:c>
      <x:c r="D17" s="16" t="str">
        <x:v>Starter 5%+$0.50; Pro $20/month and 3.8%+$0.40. International-card and payout extras omitted from default base, covered by sensitivity.</x:v>
      </x:c>
    </x:row>
    <x:row r="18" ht="52" customHeight="1">
      <x:c r="A18" s="16" t="str">
        <x:v>runpod</x:v>
      </x:c>
      <x:c r="B18" s="16" t="str">
        <x:v>Runpod GPU pricing</x:v>
      </x:c>
      <x:c r="C18" s="34" t="str">
        <x:v>https://www.runpod.io/pricing</x:v>
      </x:c>
      <x:c r="D18" s="16" t="str">
        <x:v>L4 Pod $0.49/hour; grouped 24 GB serverless listing $0.69/hour. Price quotes do not establish model throughput or region availability.</x:v>
      </x:c>
    </x:row>
    <x:row r="19" ht="52" customHeight="1">
      <x:c r="A19" s="16" t="str">
        <x:v>runpod_billing</x:v>
      </x:c>
      <x:c r="B19" s="16" t="str">
        <x:v>Runpod Serverless billing</x:v>
      </x:c>
      <x:c r="C19" s="34" t="str">
        <x:v>https://docs.runpod.io/serverless/pricing</x:v>
      </x:c>
      <x:c r="D19" s="16" t="str">
        <x:v>Worker-start to worker-stop billing includes initialization, execution and idle time. Flex scales to zero.</x:v>
      </x:c>
    </x:row>
    <x:row r="20" ht="52" customHeight="1">
      <x:c r="A20" s="16" t="str">
        <x:v>stripe_strategy</x:v>
      </x:c>
      <x:c r="B20" s="16" t="str">
        <x:v>Stripe Atlas SaaS pricing</x:v>
      </x:c>
      <x:c r="C20" s="34" t="str">
        <x:v>https://stripe.com/guides/atlas/saas-pricing</x:v>
      </x:c>
      <x:c r="D20" s="16" t="str">
        <x:v>Packaging should track customer value and salient differences. Guidance does not establish AltContext willingness to pay.</x:v>
      </x:c>
    </x:row>
    <x:row r="21" ht="52" customHeight="1">
      <x:c r="A21" s="16" t="str">
        <x:v>complex_images</x:v>
      </x:c>
      <x:c r="B21" s="16" t="str">
        <x:v>W3C complex images</x:v>
      </x:c>
      <x:c r="C21" s="34" t="str">
        <x:v>https://www.w3.org/WAI/tutorials/images/complex/</x:v>
      </x:c>
      <x:c r="D21" s="16" t="str">
        <x:v>Complex information can require a short alternative and a longer equivalent. No measured AltContext capability implied.</x:v>
      </x:c>
    </x:row>
    <x:row r="22" ht="21" customHeight="1">
      <x:c r="A22" s="1"/>
      <x:c r="B22" s="1"/>
      <x:c r="C22" s="1"/>
      <x:c r="D22" s="1"/>
    </x:row>
    <x:row r="23" ht="21" customHeight="1">
      <x:c r="A23" s="1"/>
      <x:c r="B23" s="1"/>
      <x:c r="C23" s="1"/>
      <x:c r="D23" s="1"/>
    </x:row>
  </x:sheetData>
  <x:pageMargins left="0.7" right="0.7" top="0.75" bottom="0.75" header="0.3" footer="0.3"/>
</x:worksheet>
</file>